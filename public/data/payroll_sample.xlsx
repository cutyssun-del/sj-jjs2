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sj-homework2\deploy-app\public\data\"/>
    </mc:Choice>
  </mc:AlternateContent>
  <xr:revisionPtr revIDLastSave="0" documentId="13_ncr:1_{7D829573-9723-4490-8B13-AB21E5A40D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사용안내" sheetId="1" r:id="rId1"/>
    <sheet name="요율기준" sheetId="2" r:id="rId2"/>
    <sheet name="직원정보" sheetId="3" r:id="rId3"/>
    <sheet name="급여대장" sheetId="4" r:id="rId4"/>
    <sheet name="4대보험" sheetId="5" r:id="rId5"/>
    <sheet name="세금" sheetId="6" r:id="rId6"/>
    <sheet name="급여명세서" sheetId="7" r:id="rId7"/>
  </sheets>
  <definedNames>
    <definedName name="_xlnm._FilterDatabase" localSheetId="4" hidden="1">'4대보험'!$A$4:$Q$220</definedName>
    <definedName name="_xlnm._FilterDatabase" localSheetId="3" hidden="1">급여대장!$A$4:$AE$220</definedName>
    <definedName name="_xlnm._FilterDatabase" localSheetId="5" hidden="1">세금!$A$4:$R$220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7" l="1"/>
  <c r="C19" i="7"/>
  <c r="C18" i="7"/>
  <c r="F17" i="7"/>
  <c r="C17" i="7"/>
  <c r="C16" i="7"/>
  <c r="C15" i="7"/>
  <c r="C12" i="7"/>
  <c r="C11" i="7"/>
  <c r="A8" i="7"/>
  <c r="F7" i="7"/>
  <c r="A3" i="7"/>
  <c r="D220" i="6"/>
  <c r="C220" i="6"/>
  <c r="A220" i="6"/>
  <c r="D219" i="6"/>
  <c r="C219" i="6"/>
  <c r="A219" i="6"/>
  <c r="D218" i="6"/>
  <c r="C218" i="6"/>
  <c r="A218" i="6"/>
  <c r="D217" i="6"/>
  <c r="C217" i="6"/>
  <c r="A217" i="6"/>
  <c r="D216" i="6"/>
  <c r="C216" i="6"/>
  <c r="A216" i="6"/>
  <c r="D215" i="6"/>
  <c r="C215" i="6"/>
  <c r="A215" i="6"/>
  <c r="D214" i="6"/>
  <c r="C214" i="6"/>
  <c r="A214" i="6"/>
  <c r="D213" i="6"/>
  <c r="C213" i="6"/>
  <c r="A213" i="6"/>
  <c r="D212" i="6"/>
  <c r="C212" i="6"/>
  <c r="A212" i="6"/>
  <c r="D211" i="6"/>
  <c r="C211" i="6"/>
  <c r="A211" i="6"/>
  <c r="D210" i="6"/>
  <c r="C210" i="6"/>
  <c r="A210" i="6"/>
  <c r="D209" i="6"/>
  <c r="C209" i="6"/>
  <c r="A209" i="6"/>
  <c r="D208" i="6"/>
  <c r="C208" i="6"/>
  <c r="A208" i="6"/>
  <c r="D207" i="6"/>
  <c r="C207" i="6"/>
  <c r="A207" i="6"/>
  <c r="D206" i="6"/>
  <c r="C206" i="6"/>
  <c r="A206" i="6"/>
  <c r="D205" i="6"/>
  <c r="C205" i="6"/>
  <c r="A205" i="6"/>
  <c r="D204" i="6"/>
  <c r="C204" i="6"/>
  <c r="A204" i="6"/>
  <c r="D203" i="6"/>
  <c r="C203" i="6"/>
  <c r="A203" i="6"/>
  <c r="D202" i="6"/>
  <c r="C202" i="6"/>
  <c r="A202" i="6"/>
  <c r="D201" i="6"/>
  <c r="C201" i="6"/>
  <c r="A201" i="6"/>
  <c r="D200" i="6"/>
  <c r="C200" i="6"/>
  <c r="A200" i="6"/>
  <c r="D199" i="6"/>
  <c r="C199" i="6"/>
  <c r="A199" i="6"/>
  <c r="D198" i="6"/>
  <c r="C198" i="6"/>
  <c r="A198" i="6"/>
  <c r="D197" i="6"/>
  <c r="C197" i="6"/>
  <c r="A197" i="6"/>
  <c r="D196" i="6"/>
  <c r="C196" i="6"/>
  <c r="A196" i="6"/>
  <c r="D195" i="6"/>
  <c r="C195" i="6"/>
  <c r="A195" i="6"/>
  <c r="D194" i="6"/>
  <c r="C194" i="6"/>
  <c r="A194" i="6"/>
  <c r="D193" i="6"/>
  <c r="C193" i="6"/>
  <c r="A193" i="6"/>
  <c r="D192" i="6"/>
  <c r="C192" i="6"/>
  <c r="A192" i="6"/>
  <c r="D191" i="6"/>
  <c r="C191" i="6"/>
  <c r="A191" i="6"/>
  <c r="D190" i="6"/>
  <c r="C190" i="6"/>
  <c r="A190" i="6"/>
  <c r="D189" i="6"/>
  <c r="C189" i="6"/>
  <c r="A189" i="6"/>
  <c r="D188" i="6"/>
  <c r="C188" i="6"/>
  <c r="A188" i="6"/>
  <c r="D187" i="6"/>
  <c r="C187" i="6"/>
  <c r="A187" i="6"/>
  <c r="D186" i="6"/>
  <c r="C186" i="6"/>
  <c r="A186" i="6"/>
  <c r="D185" i="6"/>
  <c r="C185" i="6"/>
  <c r="A185" i="6"/>
  <c r="D184" i="6"/>
  <c r="C184" i="6"/>
  <c r="A184" i="6"/>
  <c r="D183" i="6"/>
  <c r="C183" i="6"/>
  <c r="A183" i="6"/>
  <c r="D182" i="6"/>
  <c r="C182" i="6"/>
  <c r="A182" i="6"/>
  <c r="D181" i="6"/>
  <c r="C181" i="6"/>
  <c r="A181" i="6"/>
  <c r="D180" i="6"/>
  <c r="C180" i="6"/>
  <c r="A180" i="6"/>
  <c r="D179" i="6"/>
  <c r="C179" i="6"/>
  <c r="A179" i="6"/>
  <c r="D178" i="6"/>
  <c r="C178" i="6"/>
  <c r="A178" i="6"/>
  <c r="D177" i="6"/>
  <c r="C177" i="6"/>
  <c r="A177" i="6"/>
  <c r="D176" i="6"/>
  <c r="C176" i="6"/>
  <c r="A176" i="6"/>
  <c r="D175" i="6"/>
  <c r="C175" i="6"/>
  <c r="A175" i="6"/>
  <c r="D174" i="6"/>
  <c r="C174" i="6"/>
  <c r="A174" i="6"/>
  <c r="D173" i="6"/>
  <c r="C173" i="6"/>
  <c r="A173" i="6"/>
  <c r="D172" i="6"/>
  <c r="C172" i="6"/>
  <c r="A172" i="6"/>
  <c r="D171" i="6"/>
  <c r="C171" i="6"/>
  <c r="A171" i="6"/>
  <c r="D170" i="6"/>
  <c r="C170" i="6"/>
  <c r="A170" i="6"/>
  <c r="D169" i="6"/>
  <c r="C169" i="6"/>
  <c r="A169" i="6"/>
  <c r="I168" i="6"/>
  <c r="D168" i="6"/>
  <c r="A168" i="6"/>
  <c r="D167" i="6"/>
  <c r="A167" i="6"/>
  <c r="D166" i="6"/>
  <c r="A166" i="6"/>
  <c r="D165" i="6"/>
  <c r="A165" i="6"/>
  <c r="D164" i="6"/>
  <c r="A164" i="6"/>
  <c r="D163" i="6"/>
  <c r="A163" i="6"/>
  <c r="D162" i="6"/>
  <c r="A162" i="6"/>
  <c r="D161" i="6"/>
  <c r="A161" i="6"/>
  <c r="D160" i="6"/>
  <c r="A160" i="6"/>
  <c r="D159" i="6"/>
  <c r="A159" i="6"/>
  <c r="D158" i="6"/>
  <c r="A158" i="6"/>
  <c r="D157" i="6"/>
  <c r="A157" i="6"/>
  <c r="D156" i="6"/>
  <c r="A156" i="6"/>
  <c r="D155" i="6"/>
  <c r="A155" i="6"/>
  <c r="D154" i="6"/>
  <c r="A154" i="6"/>
  <c r="D153" i="6"/>
  <c r="A153" i="6"/>
  <c r="D152" i="6"/>
  <c r="A152" i="6"/>
  <c r="D151" i="6"/>
  <c r="A151" i="6"/>
  <c r="D150" i="6"/>
  <c r="A150" i="6"/>
  <c r="D149" i="6"/>
  <c r="A149" i="6"/>
  <c r="D148" i="6"/>
  <c r="A148" i="6"/>
  <c r="D147" i="6"/>
  <c r="A147" i="6"/>
  <c r="D146" i="6"/>
  <c r="A146" i="6"/>
  <c r="D145" i="6"/>
  <c r="A145" i="6"/>
  <c r="D144" i="6"/>
  <c r="A144" i="6"/>
  <c r="D143" i="6"/>
  <c r="A143" i="6"/>
  <c r="D142" i="6"/>
  <c r="A142" i="6"/>
  <c r="D141" i="6"/>
  <c r="A141" i="6"/>
  <c r="D140" i="6"/>
  <c r="A140" i="6"/>
  <c r="D139" i="6"/>
  <c r="A139" i="6"/>
  <c r="D138" i="6"/>
  <c r="A138" i="6"/>
  <c r="D137" i="6"/>
  <c r="A137" i="6"/>
  <c r="D136" i="6"/>
  <c r="A136" i="6"/>
  <c r="D135" i="6"/>
  <c r="A135" i="6"/>
  <c r="D134" i="6"/>
  <c r="A134" i="6"/>
  <c r="D133" i="6"/>
  <c r="A133" i="6"/>
  <c r="D132" i="6"/>
  <c r="A132" i="6"/>
  <c r="D131" i="6"/>
  <c r="A131" i="6"/>
  <c r="D130" i="6"/>
  <c r="A130" i="6"/>
  <c r="D129" i="6"/>
  <c r="A129" i="6"/>
  <c r="D128" i="6"/>
  <c r="A128" i="6"/>
  <c r="D127" i="6"/>
  <c r="A127" i="6"/>
  <c r="D126" i="6"/>
  <c r="A126" i="6"/>
  <c r="D125" i="6"/>
  <c r="A125" i="6"/>
  <c r="D124" i="6"/>
  <c r="A124" i="6"/>
  <c r="D123" i="6"/>
  <c r="A123" i="6"/>
  <c r="D122" i="6"/>
  <c r="A122" i="6"/>
  <c r="D121" i="6"/>
  <c r="A121" i="6"/>
  <c r="D120" i="6"/>
  <c r="A120" i="6"/>
  <c r="D119" i="6"/>
  <c r="A119" i="6"/>
  <c r="D118" i="6"/>
  <c r="A118" i="6"/>
  <c r="D117" i="6"/>
  <c r="A117" i="6"/>
  <c r="D116" i="6"/>
  <c r="A116" i="6"/>
  <c r="D115" i="6"/>
  <c r="A115" i="6"/>
  <c r="D114" i="6"/>
  <c r="A114" i="6"/>
  <c r="D113" i="6"/>
  <c r="A113" i="6"/>
  <c r="D112" i="6"/>
  <c r="A112" i="6"/>
  <c r="D111" i="6"/>
  <c r="A111" i="6"/>
  <c r="D110" i="6"/>
  <c r="A110" i="6"/>
  <c r="D109" i="6"/>
  <c r="A109" i="6"/>
  <c r="D108" i="6"/>
  <c r="A108" i="6"/>
  <c r="D107" i="6"/>
  <c r="A107" i="6"/>
  <c r="D106" i="6"/>
  <c r="A106" i="6"/>
  <c r="D105" i="6"/>
  <c r="A105" i="6"/>
  <c r="D104" i="6"/>
  <c r="A104" i="6"/>
  <c r="D103" i="6"/>
  <c r="A103" i="6"/>
  <c r="D102" i="6"/>
  <c r="A102" i="6"/>
  <c r="D101" i="6"/>
  <c r="A101" i="6"/>
  <c r="D100" i="6"/>
  <c r="A100" i="6"/>
  <c r="D99" i="6"/>
  <c r="A99" i="6"/>
  <c r="D98" i="6"/>
  <c r="A98" i="6"/>
  <c r="D97" i="6"/>
  <c r="A97" i="6"/>
  <c r="D96" i="6"/>
  <c r="A96" i="6"/>
  <c r="D95" i="6"/>
  <c r="A95" i="6"/>
  <c r="D94" i="6"/>
  <c r="A94" i="6"/>
  <c r="D93" i="6"/>
  <c r="A93" i="6"/>
  <c r="D92" i="6"/>
  <c r="A92" i="6"/>
  <c r="D91" i="6"/>
  <c r="A91" i="6"/>
  <c r="D90" i="6"/>
  <c r="A90" i="6"/>
  <c r="D89" i="6"/>
  <c r="A89" i="6"/>
  <c r="D88" i="6"/>
  <c r="A88" i="6"/>
  <c r="D87" i="6"/>
  <c r="A87" i="6"/>
  <c r="D86" i="6"/>
  <c r="A86" i="6"/>
  <c r="D85" i="6"/>
  <c r="A85" i="6"/>
  <c r="D84" i="6"/>
  <c r="A84" i="6"/>
  <c r="D83" i="6"/>
  <c r="A83" i="6"/>
  <c r="D82" i="6"/>
  <c r="A82" i="6"/>
  <c r="D81" i="6"/>
  <c r="A81" i="6"/>
  <c r="D80" i="6"/>
  <c r="A80" i="6"/>
  <c r="D79" i="6"/>
  <c r="A79" i="6"/>
  <c r="D78" i="6"/>
  <c r="A78" i="6"/>
  <c r="D77" i="6"/>
  <c r="A77" i="6"/>
  <c r="D76" i="6"/>
  <c r="A76" i="6"/>
  <c r="D75" i="6"/>
  <c r="A75" i="6"/>
  <c r="D74" i="6"/>
  <c r="A74" i="6"/>
  <c r="D73" i="6"/>
  <c r="A73" i="6"/>
  <c r="D72" i="6"/>
  <c r="A72" i="6"/>
  <c r="D71" i="6"/>
  <c r="A71" i="6"/>
  <c r="D70" i="6"/>
  <c r="A70" i="6"/>
  <c r="D69" i="6"/>
  <c r="A69" i="6"/>
  <c r="D68" i="6"/>
  <c r="A68" i="6"/>
  <c r="D67" i="6"/>
  <c r="A67" i="6"/>
  <c r="D66" i="6"/>
  <c r="A66" i="6"/>
  <c r="D65" i="6"/>
  <c r="A65" i="6"/>
  <c r="D64" i="6"/>
  <c r="A64" i="6"/>
  <c r="D63" i="6"/>
  <c r="A63" i="6"/>
  <c r="D62" i="6"/>
  <c r="A62" i="6"/>
  <c r="D61" i="6"/>
  <c r="A61" i="6"/>
  <c r="D60" i="6"/>
  <c r="A60" i="6"/>
  <c r="D59" i="6"/>
  <c r="A59" i="6"/>
  <c r="D58" i="6"/>
  <c r="A58" i="6"/>
  <c r="D57" i="6"/>
  <c r="A57" i="6"/>
  <c r="D56" i="6"/>
  <c r="A56" i="6"/>
  <c r="D55" i="6"/>
  <c r="A55" i="6"/>
  <c r="D54" i="6"/>
  <c r="A54" i="6"/>
  <c r="D53" i="6"/>
  <c r="A53" i="6"/>
  <c r="D52" i="6"/>
  <c r="A52" i="6"/>
  <c r="D51" i="6"/>
  <c r="A51" i="6"/>
  <c r="D50" i="6"/>
  <c r="A50" i="6"/>
  <c r="D49" i="6"/>
  <c r="A49" i="6"/>
  <c r="D48" i="6"/>
  <c r="A48" i="6"/>
  <c r="D47" i="6"/>
  <c r="A47" i="6"/>
  <c r="D46" i="6"/>
  <c r="A46" i="6"/>
  <c r="D45" i="6"/>
  <c r="A45" i="6"/>
  <c r="D44" i="6"/>
  <c r="A44" i="6"/>
  <c r="D43" i="6"/>
  <c r="A43" i="6"/>
  <c r="D42" i="6"/>
  <c r="A42" i="6"/>
  <c r="D41" i="6"/>
  <c r="A41" i="6"/>
  <c r="D40" i="6"/>
  <c r="A40" i="6"/>
  <c r="D39" i="6"/>
  <c r="A39" i="6"/>
  <c r="D38" i="6"/>
  <c r="A38" i="6"/>
  <c r="D37" i="6"/>
  <c r="A37" i="6"/>
  <c r="D36" i="6"/>
  <c r="A36" i="6"/>
  <c r="D35" i="6"/>
  <c r="A35" i="6"/>
  <c r="D34" i="6"/>
  <c r="A34" i="6"/>
  <c r="D33" i="6"/>
  <c r="A33" i="6"/>
  <c r="D32" i="6"/>
  <c r="A32" i="6"/>
  <c r="D31" i="6"/>
  <c r="A31" i="6"/>
  <c r="D30" i="6"/>
  <c r="A30" i="6"/>
  <c r="D29" i="6"/>
  <c r="A29" i="6"/>
  <c r="D28" i="6"/>
  <c r="A28" i="6"/>
  <c r="D27" i="6"/>
  <c r="A27" i="6"/>
  <c r="D26" i="6"/>
  <c r="A26" i="6"/>
  <c r="D25" i="6"/>
  <c r="A25" i="6"/>
  <c r="D24" i="6"/>
  <c r="A24" i="6"/>
  <c r="D23" i="6"/>
  <c r="A23" i="6"/>
  <c r="D22" i="6"/>
  <c r="A22" i="6"/>
  <c r="D21" i="6"/>
  <c r="A21" i="6"/>
  <c r="D20" i="6"/>
  <c r="A20" i="6"/>
  <c r="D19" i="6"/>
  <c r="A19" i="6"/>
  <c r="D18" i="6"/>
  <c r="A18" i="6"/>
  <c r="D17" i="6"/>
  <c r="A17" i="6"/>
  <c r="D16" i="6"/>
  <c r="A16" i="6"/>
  <c r="D15" i="6"/>
  <c r="A15" i="6"/>
  <c r="D14" i="6"/>
  <c r="A14" i="6"/>
  <c r="D13" i="6"/>
  <c r="A13" i="6"/>
  <c r="D12" i="6"/>
  <c r="A12" i="6"/>
  <c r="D11" i="6"/>
  <c r="A11" i="6"/>
  <c r="D10" i="6"/>
  <c r="A10" i="6"/>
  <c r="D9" i="6"/>
  <c r="A9" i="6"/>
  <c r="D8" i="6"/>
  <c r="A8" i="6"/>
  <c r="D7" i="6"/>
  <c r="A7" i="6"/>
  <c r="D6" i="6"/>
  <c r="A6" i="6"/>
  <c r="D5" i="6"/>
  <c r="I5" i="6" s="1"/>
  <c r="A5" i="6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U220" i="4"/>
  <c r="H220" i="4"/>
  <c r="F220" i="4"/>
  <c r="E220" i="4"/>
  <c r="D220" i="5" s="1"/>
  <c r="D220" i="4"/>
  <c r="C220" i="5" s="1"/>
  <c r="C220" i="4"/>
  <c r="U219" i="4"/>
  <c r="H219" i="4"/>
  <c r="F219" i="4"/>
  <c r="E219" i="4"/>
  <c r="D219" i="5" s="1"/>
  <c r="D219" i="4"/>
  <c r="C219" i="5" s="1"/>
  <c r="C219" i="4"/>
  <c r="U218" i="4"/>
  <c r="H218" i="4"/>
  <c r="F218" i="4"/>
  <c r="E218" i="4"/>
  <c r="D218" i="5" s="1"/>
  <c r="D218" i="4"/>
  <c r="C218" i="5" s="1"/>
  <c r="C218" i="4"/>
  <c r="U217" i="4"/>
  <c r="H217" i="4"/>
  <c r="F217" i="4"/>
  <c r="E217" i="4"/>
  <c r="D217" i="5" s="1"/>
  <c r="D217" i="4"/>
  <c r="C217" i="5" s="1"/>
  <c r="C217" i="4"/>
  <c r="U216" i="4"/>
  <c r="H216" i="4"/>
  <c r="F216" i="4"/>
  <c r="E216" i="4"/>
  <c r="D216" i="5" s="1"/>
  <c r="D216" i="4"/>
  <c r="C216" i="5" s="1"/>
  <c r="C216" i="4"/>
  <c r="U215" i="4"/>
  <c r="H215" i="4"/>
  <c r="F215" i="4"/>
  <c r="E215" i="4"/>
  <c r="D215" i="5" s="1"/>
  <c r="D215" i="4"/>
  <c r="C215" i="5" s="1"/>
  <c r="C215" i="4"/>
  <c r="U214" i="4"/>
  <c r="H214" i="4"/>
  <c r="F214" i="4"/>
  <c r="E214" i="4"/>
  <c r="D214" i="5" s="1"/>
  <c r="D214" i="4"/>
  <c r="C214" i="5" s="1"/>
  <c r="C214" i="4"/>
  <c r="U213" i="4"/>
  <c r="H213" i="4"/>
  <c r="F213" i="4"/>
  <c r="E213" i="4"/>
  <c r="D213" i="5" s="1"/>
  <c r="D213" i="4"/>
  <c r="C213" i="5" s="1"/>
  <c r="C213" i="4"/>
  <c r="U212" i="4"/>
  <c r="H212" i="4"/>
  <c r="F212" i="4"/>
  <c r="E212" i="4"/>
  <c r="D212" i="5" s="1"/>
  <c r="D212" i="4"/>
  <c r="C212" i="5" s="1"/>
  <c r="C212" i="4"/>
  <c r="U211" i="4"/>
  <c r="H211" i="4"/>
  <c r="F211" i="4"/>
  <c r="E211" i="4"/>
  <c r="D211" i="5" s="1"/>
  <c r="D211" i="4"/>
  <c r="C211" i="5" s="1"/>
  <c r="C211" i="4"/>
  <c r="U210" i="4"/>
  <c r="H210" i="4"/>
  <c r="F210" i="4"/>
  <c r="E210" i="4"/>
  <c r="D210" i="5" s="1"/>
  <c r="D210" i="4"/>
  <c r="C210" i="5" s="1"/>
  <c r="C210" i="4"/>
  <c r="U209" i="4"/>
  <c r="H209" i="4"/>
  <c r="F209" i="4"/>
  <c r="E209" i="4"/>
  <c r="D209" i="5" s="1"/>
  <c r="D209" i="4"/>
  <c r="C209" i="5" s="1"/>
  <c r="C209" i="4"/>
  <c r="U208" i="4"/>
  <c r="H208" i="4"/>
  <c r="F208" i="4"/>
  <c r="E208" i="4"/>
  <c r="D208" i="5" s="1"/>
  <c r="D208" i="4"/>
  <c r="C208" i="5" s="1"/>
  <c r="C208" i="4"/>
  <c r="U207" i="4"/>
  <c r="H207" i="4"/>
  <c r="F207" i="4"/>
  <c r="E207" i="4"/>
  <c r="D207" i="5" s="1"/>
  <c r="D207" i="4"/>
  <c r="C207" i="5" s="1"/>
  <c r="C207" i="4"/>
  <c r="U206" i="4"/>
  <c r="H206" i="4"/>
  <c r="F206" i="4"/>
  <c r="E206" i="4"/>
  <c r="D206" i="5" s="1"/>
  <c r="D206" i="4"/>
  <c r="C206" i="5" s="1"/>
  <c r="C206" i="4"/>
  <c r="U205" i="4"/>
  <c r="H205" i="4"/>
  <c r="F205" i="4"/>
  <c r="E205" i="4"/>
  <c r="D205" i="5" s="1"/>
  <c r="D205" i="4"/>
  <c r="C205" i="5" s="1"/>
  <c r="C205" i="4"/>
  <c r="U204" i="4"/>
  <c r="H204" i="4"/>
  <c r="F204" i="4"/>
  <c r="E204" i="4"/>
  <c r="D204" i="5" s="1"/>
  <c r="D204" i="4"/>
  <c r="C204" i="5" s="1"/>
  <c r="C204" i="4"/>
  <c r="U203" i="4"/>
  <c r="H203" i="4"/>
  <c r="F203" i="4"/>
  <c r="E203" i="4"/>
  <c r="D203" i="5" s="1"/>
  <c r="D203" i="4"/>
  <c r="C203" i="5" s="1"/>
  <c r="C203" i="4"/>
  <c r="U202" i="4"/>
  <c r="H202" i="4"/>
  <c r="F202" i="4"/>
  <c r="E202" i="4"/>
  <c r="D202" i="5" s="1"/>
  <c r="D202" i="4"/>
  <c r="C202" i="5" s="1"/>
  <c r="C202" i="4"/>
  <c r="U201" i="4"/>
  <c r="H201" i="4"/>
  <c r="F201" i="4"/>
  <c r="E201" i="4"/>
  <c r="D201" i="5" s="1"/>
  <c r="D201" i="4"/>
  <c r="C201" i="5" s="1"/>
  <c r="C201" i="4"/>
  <c r="U200" i="4"/>
  <c r="H200" i="4"/>
  <c r="F200" i="4"/>
  <c r="E200" i="4"/>
  <c r="D200" i="5" s="1"/>
  <c r="D200" i="4"/>
  <c r="C200" i="5" s="1"/>
  <c r="C200" i="4"/>
  <c r="U199" i="4"/>
  <c r="H199" i="4"/>
  <c r="F199" i="4"/>
  <c r="E199" i="4"/>
  <c r="D199" i="5" s="1"/>
  <c r="D199" i="4"/>
  <c r="C199" i="5" s="1"/>
  <c r="C199" i="4"/>
  <c r="U198" i="4"/>
  <c r="H198" i="4"/>
  <c r="F198" i="4"/>
  <c r="E198" i="4"/>
  <c r="D198" i="5" s="1"/>
  <c r="D198" i="4"/>
  <c r="C198" i="5" s="1"/>
  <c r="C198" i="4"/>
  <c r="U197" i="4"/>
  <c r="H197" i="4"/>
  <c r="F197" i="4"/>
  <c r="E197" i="4"/>
  <c r="D197" i="5" s="1"/>
  <c r="D197" i="4"/>
  <c r="C197" i="5" s="1"/>
  <c r="C197" i="4"/>
  <c r="U196" i="4"/>
  <c r="H196" i="4"/>
  <c r="F196" i="4"/>
  <c r="E196" i="4"/>
  <c r="D196" i="5" s="1"/>
  <c r="D196" i="4"/>
  <c r="C196" i="5" s="1"/>
  <c r="C196" i="4"/>
  <c r="U195" i="4"/>
  <c r="H195" i="4"/>
  <c r="F195" i="4"/>
  <c r="E195" i="4"/>
  <c r="D195" i="5" s="1"/>
  <c r="D195" i="4"/>
  <c r="C195" i="5" s="1"/>
  <c r="C195" i="4"/>
  <c r="U194" i="4"/>
  <c r="H194" i="4"/>
  <c r="F194" i="4"/>
  <c r="E194" i="4"/>
  <c r="D194" i="5" s="1"/>
  <c r="D194" i="4"/>
  <c r="C194" i="5" s="1"/>
  <c r="C194" i="4"/>
  <c r="U193" i="4"/>
  <c r="H193" i="4"/>
  <c r="F193" i="4"/>
  <c r="E193" i="4"/>
  <c r="D193" i="5" s="1"/>
  <c r="D193" i="4"/>
  <c r="C193" i="5" s="1"/>
  <c r="C193" i="4"/>
  <c r="U192" i="4"/>
  <c r="H192" i="4"/>
  <c r="F192" i="4"/>
  <c r="E192" i="4"/>
  <c r="D192" i="5" s="1"/>
  <c r="D192" i="4"/>
  <c r="C192" i="5" s="1"/>
  <c r="C192" i="4"/>
  <c r="U191" i="4"/>
  <c r="H191" i="4"/>
  <c r="F191" i="4"/>
  <c r="E191" i="4"/>
  <c r="D191" i="5" s="1"/>
  <c r="D191" i="4"/>
  <c r="C191" i="5" s="1"/>
  <c r="C191" i="4"/>
  <c r="U190" i="4"/>
  <c r="H190" i="4"/>
  <c r="F190" i="4"/>
  <c r="E190" i="4"/>
  <c r="D190" i="5" s="1"/>
  <c r="D190" i="4"/>
  <c r="C190" i="5" s="1"/>
  <c r="C190" i="4"/>
  <c r="U189" i="4"/>
  <c r="H189" i="4"/>
  <c r="F189" i="4"/>
  <c r="E189" i="4"/>
  <c r="D189" i="5" s="1"/>
  <c r="D189" i="4"/>
  <c r="C189" i="5" s="1"/>
  <c r="C189" i="4"/>
  <c r="U188" i="4"/>
  <c r="H188" i="4"/>
  <c r="F188" i="4"/>
  <c r="E188" i="4"/>
  <c r="D188" i="5" s="1"/>
  <c r="D188" i="4"/>
  <c r="C188" i="5" s="1"/>
  <c r="C188" i="4"/>
  <c r="U187" i="4"/>
  <c r="H187" i="4"/>
  <c r="F187" i="4"/>
  <c r="E187" i="4"/>
  <c r="D187" i="5" s="1"/>
  <c r="D187" i="4"/>
  <c r="C187" i="5" s="1"/>
  <c r="C187" i="4"/>
  <c r="U186" i="4"/>
  <c r="H186" i="4"/>
  <c r="F186" i="4"/>
  <c r="E186" i="4"/>
  <c r="D186" i="5" s="1"/>
  <c r="D186" i="4"/>
  <c r="C186" i="5" s="1"/>
  <c r="C186" i="4"/>
  <c r="U185" i="4"/>
  <c r="H185" i="4"/>
  <c r="F185" i="4"/>
  <c r="E185" i="4"/>
  <c r="D185" i="5" s="1"/>
  <c r="D185" i="4"/>
  <c r="C185" i="5" s="1"/>
  <c r="C185" i="4"/>
  <c r="U184" i="4"/>
  <c r="H184" i="4"/>
  <c r="F184" i="4"/>
  <c r="E184" i="4"/>
  <c r="D184" i="5" s="1"/>
  <c r="D184" i="4"/>
  <c r="C184" i="5" s="1"/>
  <c r="C184" i="4"/>
  <c r="U183" i="4"/>
  <c r="H183" i="4"/>
  <c r="F183" i="4"/>
  <c r="E183" i="4"/>
  <c r="D183" i="5" s="1"/>
  <c r="D183" i="4"/>
  <c r="C183" i="5" s="1"/>
  <c r="C183" i="4"/>
  <c r="U182" i="4"/>
  <c r="H182" i="4"/>
  <c r="F182" i="4"/>
  <c r="E182" i="4"/>
  <c r="D182" i="5" s="1"/>
  <c r="D182" i="4"/>
  <c r="C182" i="5" s="1"/>
  <c r="C182" i="4"/>
  <c r="U181" i="4"/>
  <c r="H181" i="4"/>
  <c r="F181" i="4"/>
  <c r="E181" i="4"/>
  <c r="D181" i="5" s="1"/>
  <c r="D181" i="4"/>
  <c r="C181" i="5" s="1"/>
  <c r="C181" i="4"/>
  <c r="U180" i="4"/>
  <c r="H180" i="4"/>
  <c r="F180" i="4"/>
  <c r="E180" i="4"/>
  <c r="D180" i="5" s="1"/>
  <c r="D180" i="4"/>
  <c r="C180" i="5" s="1"/>
  <c r="C180" i="4"/>
  <c r="U179" i="4"/>
  <c r="H179" i="4"/>
  <c r="F179" i="4"/>
  <c r="E179" i="4"/>
  <c r="D179" i="5" s="1"/>
  <c r="D179" i="4"/>
  <c r="C179" i="5" s="1"/>
  <c r="C179" i="4"/>
  <c r="U178" i="4"/>
  <c r="H178" i="4"/>
  <c r="F178" i="4"/>
  <c r="E178" i="4"/>
  <c r="D178" i="5" s="1"/>
  <c r="D178" i="4"/>
  <c r="C178" i="5" s="1"/>
  <c r="C178" i="4"/>
  <c r="U177" i="4"/>
  <c r="H177" i="4"/>
  <c r="F177" i="4"/>
  <c r="E177" i="4"/>
  <c r="D177" i="5" s="1"/>
  <c r="D177" i="4"/>
  <c r="C177" i="5" s="1"/>
  <c r="C177" i="4"/>
  <c r="U176" i="4"/>
  <c r="H176" i="4"/>
  <c r="F176" i="4"/>
  <c r="E176" i="4"/>
  <c r="D176" i="5" s="1"/>
  <c r="D176" i="4"/>
  <c r="C176" i="5" s="1"/>
  <c r="C176" i="4"/>
  <c r="U175" i="4"/>
  <c r="H175" i="4"/>
  <c r="F175" i="4"/>
  <c r="E175" i="4"/>
  <c r="D175" i="5" s="1"/>
  <c r="D175" i="4"/>
  <c r="C175" i="5" s="1"/>
  <c r="C175" i="4"/>
  <c r="U174" i="4"/>
  <c r="H174" i="4"/>
  <c r="F174" i="4"/>
  <c r="E174" i="4"/>
  <c r="D174" i="5" s="1"/>
  <c r="D174" i="4"/>
  <c r="C174" i="5" s="1"/>
  <c r="C174" i="4"/>
  <c r="U173" i="4"/>
  <c r="H173" i="4"/>
  <c r="F173" i="4"/>
  <c r="E173" i="4"/>
  <c r="D173" i="5" s="1"/>
  <c r="D173" i="4"/>
  <c r="C173" i="5" s="1"/>
  <c r="C173" i="4"/>
  <c r="U172" i="4"/>
  <c r="H172" i="4"/>
  <c r="F172" i="4"/>
  <c r="E172" i="4"/>
  <c r="D172" i="5" s="1"/>
  <c r="D172" i="4"/>
  <c r="C172" i="5" s="1"/>
  <c r="C172" i="4"/>
  <c r="U171" i="4"/>
  <c r="H171" i="4"/>
  <c r="F171" i="4"/>
  <c r="E171" i="4"/>
  <c r="D171" i="5" s="1"/>
  <c r="D171" i="4"/>
  <c r="C171" i="5" s="1"/>
  <c r="C171" i="4"/>
  <c r="U170" i="4"/>
  <c r="H170" i="4"/>
  <c r="F170" i="4"/>
  <c r="E170" i="4"/>
  <c r="D170" i="5" s="1"/>
  <c r="D170" i="4"/>
  <c r="C170" i="5" s="1"/>
  <c r="C170" i="4"/>
  <c r="U169" i="4"/>
  <c r="H169" i="4"/>
  <c r="F169" i="4"/>
  <c r="E169" i="4"/>
  <c r="D169" i="5" s="1"/>
  <c r="D169" i="4"/>
  <c r="C169" i="5" s="1"/>
  <c r="C169" i="4"/>
  <c r="U168" i="4"/>
  <c r="H168" i="4"/>
  <c r="F168" i="4"/>
  <c r="E168" i="4"/>
  <c r="D168" i="5" s="1"/>
  <c r="D168" i="4"/>
  <c r="C168" i="4"/>
  <c r="U167" i="4"/>
  <c r="H167" i="4"/>
  <c r="F167" i="4"/>
  <c r="E167" i="4"/>
  <c r="D167" i="5" s="1"/>
  <c r="D167" i="4"/>
  <c r="C167" i="4"/>
  <c r="U166" i="4"/>
  <c r="H166" i="4"/>
  <c r="F166" i="4"/>
  <c r="E166" i="4"/>
  <c r="D166" i="5" s="1"/>
  <c r="D166" i="4"/>
  <c r="C166" i="4"/>
  <c r="U165" i="4"/>
  <c r="H165" i="4"/>
  <c r="F165" i="4"/>
  <c r="E165" i="4"/>
  <c r="D165" i="5" s="1"/>
  <c r="D165" i="4"/>
  <c r="C165" i="4"/>
  <c r="U164" i="4"/>
  <c r="H164" i="4"/>
  <c r="F164" i="4"/>
  <c r="E164" i="4"/>
  <c r="D164" i="5" s="1"/>
  <c r="D164" i="4"/>
  <c r="C164" i="4"/>
  <c r="U163" i="4"/>
  <c r="H163" i="4"/>
  <c r="F163" i="4"/>
  <c r="E163" i="4"/>
  <c r="D163" i="5" s="1"/>
  <c r="D163" i="4"/>
  <c r="C163" i="4"/>
  <c r="U162" i="4"/>
  <c r="H162" i="4"/>
  <c r="F162" i="4"/>
  <c r="E162" i="4"/>
  <c r="D162" i="5" s="1"/>
  <c r="D162" i="4"/>
  <c r="C162" i="4"/>
  <c r="U161" i="4"/>
  <c r="H161" i="4"/>
  <c r="F161" i="4"/>
  <c r="E161" i="4"/>
  <c r="D161" i="5" s="1"/>
  <c r="D161" i="4"/>
  <c r="C161" i="4"/>
  <c r="U160" i="4"/>
  <c r="H160" i="4"/>
  <c r="F160" i="4"/>
  <c r="E160" i="4"/>
  <c r="D160" i="5" s="1"/>
  <c r="D160" i="4"/>
  <c r="C160" i="4"/>
  <c r="U159" i="4"/>
  <c r="H159" i="4"/>
  <c r="F159" i="4"/>
  <c r="E159" i="4"/>
  <c r="D159" i="5" s="1"/>
  <c r="D159" i="4"/>
  <c r="C159" i="4"/>
  <c r="U158" i="4"/>
  <c r="H158" i="4"/>
  <c r="F158" i="4"/>
  <c r="E158" i="4"/>
  <c r="D158" i="5" s="1"/>
  <c r="D158" i="4"/>
  <c r="C158" i="4"/>
  <c r="U157" i="4"/>
  <c r="H157" i="4"/>
  <c r="F157" i="4"/>
  <c r="E157" i="4"/>
  <c r="D157" i="5" s="1"/>
  <c r="D157" i="4"/>
  <c r="C157" i="4"/>
  <c r="U156" i="4"/>
  <c r="H156" i="4"/>
  <c r="F156" i="4"/>
  <c r="E156" i="4"/>
  <c r="D156" i="5" s="1"/>
  <c r="D156" i="4"/>
  <c r="C156" i="4"/>
  <c r="U155" i="4"/>
  <c r="H155" i="4"/>
  <c r="F155" i="4"/>
  <c r="E155" i="4"/>
  <c r="D155" i="5" s="1"/>
  <c r="D155" i="4"/>
  <c r="C155" i="4"/>
  <c r="U154" i="4"/>
  <c r="H154" i="4"/>
  <c r="F154" i="4"/>
  <c r="E154" i="4"/>
  <c r="D154" i="5" s="1"/>
  <c r="D154" i="4"/>
  <c r="C154" i="4"/>
  <c r="U153" i="4"/>
  <c r="H153" i="4"/>
  <c r="F153" i="4"/>
  <c r="E153" i="4"/>
  <c r="D153" i="5" s="1"/>
  <c r="D153" i="4"/>
  <c r="C153" i="4"/>
  <c r="U152" i="4"/>
  <c r="H152" i="4"/>
  <c r="F152" i="4"/>
  <c r="E152" i="4"/>
  <c r="D152" i="5" s="1"/>
  <c r="D152" i="4"/>
  <c r="C152" i="4"/>
  <c r="U151" i="4"/>
  <c r="H151" i="4"/>
  <c r="F151" i="4"/>
  <c r="E151" i="4"/>
  <c r="D151" i="5" s="1"/>
  <c r="D151" i="4"/>
  <c r="C151" i="4"/>
  <c r="U150" i="4"/>
  <c r="H150" i="4"/>
  <c r="F150" i="4"/>
  <c r="E150" i="4"/>
  <c r="D150" i="5" s="1"/>
  <c r="D150" i="4"/>
  <c r="C150" i="4"/>
  <c r="U149" i="4"/>
  <c r="H149" i="4"/>
  <c r="F149" i="4"/>
  <c r="E149" i="4"/>
  <c r="D149" i="5" s="1"/>
  <c r="D149" i="4"/>
  <c r="C149" i="4"/>
  <c r="U148" i="4"/>
  <c r="H148" i="4"/>
  <c r="F148" i="4"/>
  <c r="E148" i="4"/>
  <c r="D148" i="5" s="1"/>
  <c r="D148" i="4"/>
  <c r="C148" i="4"/>
  <c r="U147" i="4"/>
  <c r="H147" i="4"/>
  <c r="F147" i="4"/>
  <c r="E147" i="4"/>
  <c r="D147" i="5" s="1"/>
  <c r="D147" i="4"/>
  <c r="C147" i="4"/>
  <c r="U146" i="4"/>
  <c r="H146" i="4"/>
  <c r="F146" i="4"/>
  <c r="E146" i="4"/>
  <c r="D146" i="5" s="1"/>
  <c r="D146" i="4"/>
  <c r="C146" i="4"/>
  <c r="U145" i="4"/>
  <c r="H145" i="4"/>
  <c r="F145" i="4"/>
  <c r="E145" i="4"/>
  <c r="D145" i="5" s="1"/>
  <c r="D145" i="4"/>
  <c r="C145" i="4"/>
  <c r="U144" i="4"/>
  <c r="H144" i="4"/>
  <c r="F144" i="4"/>
  <c r="E144" i="4"/>
  <c r="D144" i="5" s="1"/>
  <c r="D144" i="4"/>
  <c r="C144" i="4"/>
  <c r="U143" i="4"/>
  <c r="H143" i="4"/>
  <c r="F143" i="4"/>
  <c r="E143" i="4"/>
  <c r="D143" i="5" s="1"/>
  <c r="D143" i="4"/>
  <c r="C143" i="4"/>
  <c r="U142" i="4"/>
  <c r="H142" i="4"/>
  <c r="F142" i="4"/>
  <c r="E142" i="4"/>
  <c r="D142" i="5" s="1"/>
  <c r="D142" i="4"/>
  <c r="C142" i="4"/>
  <c r="U141" i="4"/>
  <c r="H141" i="4"/>
  <c r="F141" i="4"/>
  <c r="E141" i="4"/>
  <c r="D141" i="5" s="1"/>
  <c r="D141" i="4"/>
  <c r="C141" i="4"/>
  <c r="U140" i="4"/>
  <c r="H140" i="4"/>
  <c r="F140" i="4"/>
  <c r="E140" i="4"/>
  <c r="D140" i="5" s="1"/>
  <c r="D140" i="4"/>
  <c r="C140" i="4"/>
  <c r="U139" i="4"/>
  <c r="H139" i="4"/>
  <c r="F139" i="4"/>
  <c r="E139" i="4"/>
  <c r="D139" i="5" s="1"/>
  <c r="D139" i="4"/>
  <c r="C139" i="4"/>
  <c r="U138" i="4"/>
  <c r="H138" i="4"/>
  <c r="F138" i="4"/>
  <c r="E138" i="4"/>
  <c r="D138" i="5" s="1"/>
  <c r="D138" i="4"/>
  <c r="C138" i="4"/>
  <c r="U137" i="4"/>
  <c r="H137" i="4"/>
  <c r="F137" i="4"/>
  <c r="E137" i="4"/>
  <c r="D137" i="5" s="1"/>
  <c r="D137" i="4"/>
  <c r="C137" i="4"/>
  <c r="U136" i="4"/>
  <c r="H136" i="4"/>
  <c r="F136" i="4"/>
  <c r="E136" i="4"/>
  <c r="D136" i="5" s="1"/>
  <c r="D136" i="4"/>
  <c r="C136" i="4"/>
  <c r="U135" i="4"/>
  <c r="H135" i="4"/>
  <c r="F135" i="4"/>
  <c r="E135" i="4"/>
  <c r="D135" i="5" s="1"/>
  <c r="D135" i="4"/>
  <c r="C135" i="4"/>
  <c r="U134" i="4"/>
  <c r="H134" i="4"/>
  <c r="F134" i="4"/>
  <c r="E134" i="4"/>
  <c r="D134" i="5" s="1"/>
  <c r="D134" i="4"/>
  <c r="C134" i="4"/>
  <c r="U133" i="4"/>
  <c r="H133" i="4"/>
  <c r="F133" i="4"/>
  <c r="E133" i="4"/>
  <c r="D133" i="5" s="1"/>
  <c r="D133" i="4"/>
  <c r="C133" i="4"/>
  <c r="U132" i="4"/>
  <c r="H132" i="4"/>
  <c r="F132" i="4"/>
  <c r="E132" i="4"/>
  <c r="D132" i="5" s="1"/>
  <c r="D132" i="4"/>
  <c r="C132" i="4"/>
  <c r="U131" i="4"/>
  <c r="H131" i="4"/>
  <c r="F131" i="4"/>
  <c r="E131" i="4"/>
  <c r="D131" i="5" s="1"/>
  <c r="D131" i="4"/>
  <c r="C131" i="4"/>
  <c r="U130" i="4"/>
  <c r="H130" i="4"/>
  <c r="F130" i="4"/>
  <c r="E130" i="4"/>
  <c r="D130" i="5" s="1"/>
  <c r="D130" i="4"/>
  <c r="C130" i="4"/>
  <c r="U129" i="4"/>
  <c r="H129" i="4"/>
  <c r="F129" i="4"/>
  <c r="E129" i="4"/>
  <c r="D129" i="5" s="1"/>
  <c r="D129" i="4"/>
  <c r="C129" i="4"/>
  <c r="U128" i="4"/>
  <c r="H128" i="4"/>
  <c r="F128" i="4"/>
  <c r="E128" i="4"/>
  <c r="D128" i="5" s="1"/>
  <c r="D128" i="4"/>
  <c r="C128" i="4"/>
  <c r="U127" i="4"/>
  <c r="H127" i="4"/>
  <c r="F127" i="4"/>
  <c r="E127" i="4"/>
  <c r="D127" i="5" s="1"/>
  <c r="D127" i="4"/>
  <c r="C127" i="4"/>
  <c r="U126" i="4"/>
  <c r="H126" i="4"/>
  <c r="F126" i="4"/>
  <c r="E126" i="4"/>
  <c r="D126" i="5" s="1"/>
  <c r="D126" i="4"/>
  <c r="C126" i="4"/>
  <c r="U125" i="4"/>
  <c r="H125" i="4"/>
  <c r="F125" i="4"/>
  <c r="E125" i="4"/>
  <c r="D125" i="5" s="1"/>
  <c r="D125" i="4"/>
  <c r="C125" i="4"/>
  <c r="U124" i="4"/>
  <c r="H124" i="4"/>
  <c r="F124" i="4"/>
  <c r="E124" i="4"/>
  <c r="D124" i="5" s="1"/>
  <c r="D124" i="4"/>
  <c r="C124" i="4"/>
  <c r="U123" i="4"/>
  <c r="H123" i="4"/>
  <c r="F123" i="4"/>
  <c r="E123" i="4"/>
  <c r="D123" i="5" s="1"/>
  <c r="D123" i="4"/>
  <c r="C123" i="4"/>
  <c r="U122" i="4"/>
  <c r="H122" i="4"/>
  <c r="F122" i="4"/>
  <c r="E122" i="4"/>
  <c r="D122" i="5" s="1"/>
  <c r="D122" i="4"/>
  <c r="C122" i="4"/>
  <c r="U121" i="4"/>
  <c r="H121" i="4"/>
  <c r="F121" i="4"/>
  <c r="E121" i="4"/>
  <c r="D121" i="5" s="1"/>
  <c r="D121" i="4"/>
  <c r="C121" i="4"/>
  <c r="U120" i="4"/>
  <c r="H120" i="4"/>
  <c r="F120" i="4"/>
  <c r="E120" i="4"/>
  <c r="D120" i="5" s="1"/>
  <c r="D120" i="4"/>
  <c r="C120" i="4"/>
  <c r="U119" i="4"/>
  <c r="H119" i="4"/>
  <c r="F119" i="4"/>
  <c r="E119" i="4"/>
  <c r="D119" i="5" s="1"/>
  <c r="D119" i="4"/>
  <c r="C119" i="4"/>
  <c r="U118" i="4"/>
  <c r="H118" i="4"/>
  <c r="F118" i="4"/>
  <c r="E118" i="4"/>
  <c r="D118" i="5" s="1"/>
  <c r="D118" i="4"/>
  <c r="C118" i="4"/>
  <c r="U117" i="4"/>
  <c r="H117" i="4"/>
  <c r="F117" i="4"/>
  <c r="E117" i="4"/>
  <c r="D117" i="5" s="1"/>
  <c r="D117" i="4"/>
  <c r="C117" i="4"/>
  <c r="U116" i="4"/>
  <c r="H116" i="4"/>
  <c r="F116" i="4"/>
  <c r="E116" i="4"/>
  <c r="D116" i="5" s="1"/>
  <c r="D116" i="4"/>
  <c r="C116" i="4"/>
  <c r="U115" i="4"/>
  <c r="H115" i="4"/>
  <c r="F115" i="4"/>
  <c r="E115" i="4"/>
  <c r="D115" i="5" s="1"/>
  <c r="D115" i="4"/>
  <c r="C115" i="4"/>
  <c r="U114" i="4"/>
  <c r="H114" i="4"/>
  <c r="F114" i="4"/>
  <c r="E114" i="4"/>
  <c r="D114" i="5" s="1"/>
  <c r="D114" i="4"/>
  <c r="C114" i="4"/>
  <c r="U113" i="4"/>
  <c r="H113" i="4"/>
  <c r="F113" i="4"/>
  <c r="E113" i="4"/>
  <c r="D113" i="5" s="1"/>
  <c r="D113" i="4"/>
  <c r="C113" i="4"/>
  <c r="U112" i="4"/>
  <c r="H112" i="4"/>
  <c r="F112" i="4"/>
  <c r="E112" i="4"/>
  <c r="D112" i="5" s="1"/>
  <c r="D112" i="4"/>
  <c r="C112" i="4"/>
  <c r="U111" i="4"/>
  <c r="H111" i="4"/>
  <c r="F111" i="4"/>
  <c r="E111" i="4"/>
  <c r="D111" i="5" s="1"/>
  <c r="D111" i="4"/>
  <c r="C111" i="4"/>
  <c r="U110" i="4"/>
  <c r="H110" i="4"/>
  <c r="F110" i="4"/>
  <c r="E110" i="4"/>
  <c r="D110" i="5" s="1"/>
  <c r="D110" i="4"/>
  <c r="C110" i="4"/>
  <c r="U109" i="4"/>
  <c r="H109" i="4"/>
  <c r="F109" i="4"/>
  <c r="E109" i="4"/>
  <c r="D109" i="5" s="1"/>
  <c r="D109" i="4"/>
  <c r="C109" i="4"/>
  <c r="U108" i="4"/>
  <c r="H108" i="4"/>
  <c r="F108" i="4"/>
  <c r="E108" i="4"/>
  <c r="D108" i="5" s="1"/>
  <c r="D108" i="4"/>
  <c r="C108" i="4"/>
  <c r="U107" i="4"/>
  <c r="H107" i="4"/>
  <c r="F107" i="4"/>
  <c r="E107" i="4"/>
  <c r="D107" i="5" s="1"/>
  <c r="D107" i="4"/>
  <c r="C107" i="4"/>
  <c r="U106" i="4"/>
  <c r="H106" i="4"/>
  <c r="F106" i="4"/>
  <c r="E106" i="4"/>
  <c r="D106" i="5" s="1"/>
  <c r="D106" i="4"/>
  <c r="C106" i="4"/>
  <c r="U105" i="4"/>
  <c r="H105" i="4"/>
  <c r="F105" i="4"/>
  <c r="E105" i="4"/>
  <c r="D105" i="5" s="1"/>
  <c r="D105" i="4"/>
  <c r="C105" i="4"/>
  <c r="U104" i="4"/>
  <c r="H104" i="4"/>
  <c r="F104" i="4"/>
  <c r="E104" i="4"/>
  <c r="D104" i="5" s="1"/>
  <c r="D104" i="4"/>
  <c r="C104" i="4"/>
  <c r="U103" i="4"/>
  <c r="H103" i="4"/>
  <c r="F103" i="4"/>
  <c r="E103" i="4"/>
  <c r="D103" i="5" s="1"/>
  <c r="D103" i="4"/>
  <c r="C103" i="4"/>
  <c r="U102" i="4"/>
  <c r="H102" i="4"/>
  <c r="F102" i="4"/>
  <c r="E102" i="4"/>
  <c r="D102" i="5" s="1"/>
  <c r="D102" i="4"/>
  <c r="C102" i="4"/>
  <c r="U101" i="4"/>
  <c r="H101" i="4"/>
  <c r="F101" i="4"/>
  <c r="E101" i="4"/>
  <c r="D101" i="5" s="1"/>
  <c r="D101" i="4"/>
  <c r="C101" i="4"/>
  <c r="U100" i="4"/>
  <c r="H100" i="4"/>
  <c r="F100" i="4"/>
  <c r="E100" i="4"/>
  <c r="D100" i="5" s="1"/>
  <c r="D100" i="4"/>
  <c r="C100" i="4"/>
  <c r="U99" i="4"/>
  <c r="H99" i="4"/>
  <c r="F99" i="4"/>
  <c r="E99" i="4"/>
  <c r="D99" i="5" s="1"/>
  <c r="D99" i="4"/>
  <c r="C99" i="4"/>
  <c r="U98" i="4"/>
  <c r="H98" i="4"/>
  <c r="F98" i="4"/>
  <c r="E98" i="4"/>
  <c r="D98" i="5" s="1"/>
  <c r="D98" i="4"/>
  <c r="C98" i="4"/>
  <c r="U97" i="4"/>
  <c r="H97" i="4"/>
  <c r="F97" i="4"/>
  <c r="E97" i="4"/>
  <c r="D97" i="5" s="1"/>
  <c r="D97" i="4"/>
  <c r="C97" i="4"/>
  <c r="U96" i="4"/>
  <c r="H96" i="4"/>
  <c r="F96" i="4"/>
  <c r="E96" i="4"/>
  <c r="D96" i="5" s="1"/>
  <c r="D96" i="4"/>
  <c r="C96" i="4"/>
  <c r="U95" i="4"/>
  <c r="H95" i="4"/>
  <c r="F95" i="4"/>
  <c r="E95" i="4"/>
  <c r="D95" i="5" s="1"/>
  <c r="D95" i="4"/>
  <c r="C95" i="4"/>
  <c r="U94" i="4"/>
  <c r="H94" i="4"/>
  <c r="F94" i="4"/>
  <c r="E94" i="4"/>
  <c r="D94" i="5" s="1"/>
  <c r="D94" i="4"/>
  <c r="C94" i="4"/>
  <c r="U93" i="4"/>
  <c r="H93" i="4"/>
  <c r="F93" i="4"/>
  <c r="E93" i="4"/>
  <c r="D93" i="5" s="1"/>
  <c r="D93" i="4"/>
  <c r="C93" i="4"/>
  <c r="U92" i="4"/>
  <c r="H92" i="4"/>
  <c r="F92" i="4"/>
  <c r="E92" i="4"/>
  <c r="D92" i="5" s="1"/>
  <c r="D92" i="4"/>
  <c r="C92" i="4"/>
  <c r="U91" i="4"/>
  <c r="H91" i="4"/>
  <c r="F91" i="4"/>
  <c r="E91" i="4"/>
  <c r="D91" i="5" s="1"/>
  <c r="D91" i="4"/>
  <c r="C91" i="4"/>
  <c r="U90" i="4"/>
  <c r="H90" i="4"/>
  <c r="F90" i="4"/>
  <c r="E90" i="4"/>
  <c r="D90" i="5" s="1"/>
  <c r="D90" i="4"/>
  <c r="C90" i="4"/>
  <c r="U89" i="4"/>
  <c r="H89" i="4"/>
  <c r="F89" i="4"/>
  <c r="E89" i="4"/>
  <c r="D89" i="5" s="1"/>
  <c r="D89" i="4"/>
  <c r="C89" i="4"/>
  <c r="U88" i="4"/>
  <c r="H88" i="4"/>
  <c r="F88" i="4"/>
  <c r="E88" i="4"/>
  <c r="D88" i="5" s="1"/>
  <c r="D88" i="4"/>
  <c r="C88" i="4"/>
  <c r="U87" i="4"/>
  <c r="H87" i="4"/>
  <c r="F87" i="4"/>
  <c r="E87" i="4"/>
  <c r="D87" i="5" s="1"/>
  <c r="D87" i="4"/>
  <c r="C87" i="4"/>
  <c r="U86" i="4"/>
  <c r="H86" i="4"/>
  <c r="F86" i="4"/>
  <c r="E86" i="4"/>
  <c r="D86" i="5" s="1"/>
  <c r="D86" i="4"/>
  <c r="C86" i="4"/>
  <c r="U85" i="4"/>
  <c r="H85" i="4"/>
  <c r="F85" i="4"/>
  <c r="E85" i="4"/>
  <c r="D85" i="5" s="1"/>
  <c r="D85" i="4"/>
  <c r="C85" i="4"/>
  <c r="U84" i="4"/>
  <c r="H84" i="4"/>
  <c r="F84" i="4"/>
  <c r="E84" i="4"/>
  <c r="D84" i="5" s="1"/>
  <c r="D84" i="4"/>
  <c r="C84" i="4"/>
  <c r="U83" i="4"/>
  <c r="H83" i="4"/>
  <c r="F83" i="4"/>
  <c r="E83" i="4"/>
  <c r="D83" i="5" s="1"/>
  <c r="D83" i="4"/>
  <c r="C83" i="4"/>
  <c r="U82" i="4"/>
  <c r="H82" i="4"/>
  <c r="F82" i="4"/>
  <c r="E82" i="4"/>
  <c r="D82" i="5" s="1"/>
  <c r="D82" i="4"/>
  <c r="C82" i="4"/>
  <c r="U81" i="4"/>
  <c r="H81" i="4"/>
  <c r="F81" i="4"/>
  <c r="E81" i="4"/>
  <c r="D81" i="5" s="1"/>
  <c r="D81" i="4"/>
  <c r="C81" i="4"/>
  <c r="U80" i="4"/>
  <c r="H80" i="4"/>
  <c r="F80" i="4"/>
  <c r="E80" i="4"/>
  <c r="D80" i="5" s="1"/>
  <c r="D80" i="4"/>
  <c r="C80" i="4"/>
  <c r="U79" i="4"/>
  <c r="H79" i="4"/>
  <c r="F79" i="4"/>
  <c r="E79" i="4"/>
  <c r="D79" i="5" s="1"/>
  <c r="D79" i="4"/>
  <c r="C79" i="4"/>
  <c r="U78" i="4"/>
  <c r="H78" i="4"/>
  <c r="F78" i="4"/>
  <c r="E78" i="4"/>
  <c r="D78" i="5" s="1"/>
  <c r="D78" i="4"/>
  <c r="C78" i="4"/>
  <c r="U77" i="4"/>
  <c r="H77" i="4"/>
  <c r="F77" i="4"/>
  <c r="E77" i="4"/>
  <c r="D77" i="5" s="1"/>
  <c r="D77" i="4"/>
  <c r="C77" i="4"/>
  <c r="U76" i="4"/>
  <c r="H76" i="4"/>
  <c r="F76" i="4"/>
  <c r="E76" i="4"/>
  <c r="D76" i="5" s="1"/>
  <c r="D76" i="4"/>
  <c r="C76" i="4"/>
  <c r="U75" i="4"/>
  <c r="H75" i="4"/>
  <c r="F75" i="4"/>
  <c r="E75" i="4"/>
  <c r="D75" i="5" s="1"/>
  <c r="D75" i="4"/>
  <c r="C75" i="4"/>
  <c r="U74" i="4"/>
  <c r="H74" i="4"/>
  <c r="F74" i="4"/>
  <c r="E74" i="4"/>
  <c r="D74" i="5" s="1"/>
  <c r="D74" i="4"/>
  <c r="C74" i="4"/>
  <c r="U73" i="4"/>
  <c r="H73" i="4"/>
  <c r="F73" i="4"/>
  <c r="E73" i="4"/>
  <c r="D73" i="5" s="1"/>
  <c r="D73" i="4"/>
  <c r="C73" i="4"/>
  <c r="U72" i="4"/>
  <c r="H72" i="4"/>
  <c r="F72" i="4"/>
  <c r="E72" i="4"/>
  <c r="D72" i="5" s="1"/>
  <c r="D72" i="4"/>
  <c r="C72" i="4"/>
  <c r="U71" i="4"/>
  <c r="H71" i="4"/>
  <c r="F71" i="4"/>
  <c r="E71" i="4"/>
  <c r="D71" i="5" s="1"/>
  <c r="D71" i="4"/>
  <c r="C71" i="4"/>
  <c r="U70" i="4"/>
  <c r="H70" i="4"/>
  <c r="F70" i="4"/>
  <c r="E70" i="4"/>
  <c r="D70" i="5" s="1"/>
  <c r="D70" i="4"/>
  <c r="C70" i="4"/>
  <c r="U69" i="4"/>
  <c r="H69" i="4"/>
  <c r="F69" i="4"/>
  <c r="E69" i="4"/>
  <c r="D69" i="5" s="1"/>
  <c r="D69" i="4"/>
  <c r="C69" i="4"/>
  <c r="U68" i="4"/>
  <c r="H68" i="4"/>
  <c r="F68" i="4"/>
  <c r="E68" i="4"/>
  <c r="D68" i="5" s="1"/>
  <c r="D68" i="4"/>
  <c r="C68" i="4"/>
  <c r="U67" i="4"/>
  <c r="H67" i="4"/>
  <c r="F67" i="4"/>
  <c r="E67" i="4"/>
  <c r="D67" i="5" s="1"/>
  <c r="D67" i="4"/>
  <c r="C67" i="4"/>
  <c r="U66" i="4"/>
  <c r="H66" i="4"/>
  <c r="F66" i="4"/>
  <c r="E66" i="4"/>
  <c r="D66" i="5" s="1"/>
  <c r="D66" i="4"/>
  <c r="C66" i="4"/>
  <c r="U65" i="4"/>
  <c r="H65" i="4"/>
  <c r="F65" i="4"/>
  <c r="E65" i="4"/>
  <c r="D65" i="5" s="1"/>
  <c r="D65" i="4"/>
  <c r="C65" i="4"/>
  <c r="U64" i="4"/>
  <c r="H64" i="4"/>
  <c r="F64" i="4"/>
  <c r="E64" i="4"/>
  <c r="D64" i="5" s="1"/>
  <c r="D64" i="4"/>
  <c r="C64" i="4"/>
  <c r="U63" i="4"/>
  <c r="H63" i="4"/>
  <c r="F63" i="4"/>
  <c r="E63" i="4"/>
  <c r="D63" i="5" s="1"/>
  <c r="D63" i="4"/>
  <c r="C63" i="4"/>
  <c r="U62" i="4"/>
  <c r="H62" i="4"/>
  <c r="F62" i="4"/>
  <c r="E62" i="4"/>
  <c r="D62" i="5" s="1"/>
  <c r="D62" i="4"/>
  <c r="C62" i="4"/>
  <c r="U61" i="4"/>
  <c r="H61" i="4"/>
  <c r="F61" i="4"/>
  <c r="E61" i="4"/>
  <c r="D61" i="5" s="1"/>
  <c r="D61" i="4"/>
  <c r="C61" i="4"/>
  <c r="U60" i="4"/>
  <c r="H60" i="4"/>
  <c r="F60" i="4"/>
  <c r="E60" i="4"/>
  <c r="D60" i="5" s="1"/>
  <c r="D60" i="4"/>
  <c r="C60" i="4"/>
  <c r="U59" i="4"/>
  <c r="H59" i="4"/>
  <c r="F59" i="4"/>
  <c r="E59" i="4"/>
  <c r="D59" i="5" s="1"/>
  <c r="D59" i="4"/>
  <c r="C59" i="4"/>
  <c r="U58" i="4"/>
  <c r="H58" i="4"/>
  <c r="F58" i="4"/>
  <c r="E58" i="4"/>
  <c r="D58" i="5" s="1"/>
  <c r="D58" i="4"/>
  <c r="C58" i="4"/>
  <c r="U57" i="4"/>
  <c r="H57" i="4"/>
  <c r="F57" i="4"/>
  <c r="E57" i="4"/>
  <c r="D57" i="5" s="1"/>
  <c r="D57" i="4"/>
  <c r="C57" i="4"/>
  <c r="U56" i="4"/>
  <c r="H56" i="4"/>
  <c r="F56" i="4"/>
  <c r="E56" i="4"/>
  <c r="D56" i="5" s="1"/>
  <c r="D56" i="4"/>
  <c r="C56" i="4"/>
  <c r="U55" i="4"/>
  <c r="H55" i="4"/>
  <c r="F55" i="4"/>
  <c r="E55" i="4"/>
  <c r="D55" i="5" s="1"/>
  <c r="D55" i="4"/>
  <c r="C55" i="4"/>
  <c r="U54" i="4"/>
  <c r="H54" i="4"/>
  <c r="F54" i="4"/>
  <c r="E54" i="4"/>
  <c r="D54" i="5" s="1"/>
  <c r="D54" i="4"/>
  <c r="C54" i="4"/>
  <c r="U53" i="4"/>
  <c r="H53" i="4"/>
  <c r="F53" i="4"/>
  <c r="E53" i="4"/>
  <c r="D53" i="5" s="1"/>
  <c r="D53" i="4"/>
  <c r="C53" i="4"/>
  <c r="U52" i="4"/>
  <c r="H52" i="4"/>
  <c r="F52" i="4"/>
  <c r="E52" i="4"/>
  <c r="D52" i="5" s="1"/>
  <c r="D52" i="4"/>
  <c r="C52" i="4"/>
  <c r="U51" i="4"/>
  <c r="H51" i="4"/>
  <c r="F51" i="4"/>
  <c r="E51" i="4"/>
  <c r="D51" i="5" s="1"/>
  <c r="D51" i="4"/>
  <c r="C51" i="4"/>
  <c r="U50" i="4"/>
  <c r="H50" i="4"/>
  <c r="F50" i="4"/>
  <c r="E50" i="4"/>
  <c r="D50" i="5" s="1"/>
  <c r="D50" i="4"/>
  <c r="C50" i="4"/>
  <c r="U49" i="4"/>
  <c r="H49" i="4"/>
  <c r="F49" i="4"/>
  <c r="E49" i="4"/>
  <c r="D49" i="5" s="1"/>
  <c r="D49" i="4"/>
  <c r="C49" i="4"/>
  <c r="U48" i="4"/>
  <c r="H48" i="4"/>
  <c r="F48" i="4"/>
  <c r="E48" i="4"/>
  <c r="D48" i="5" s="1"/>
  <c r="D48" i="4"/>
  <c r="C48" i="4"/>
  <c r="U47" i="4"/>
  <c r="H47" i="4"/>
  <c r="F47" i="4"/>
  <c r="E47" i="4"/>
  <c r="D47" i="5" s="1"/>
  <c r="D47" i="4"/>
  <c r="C47" i="4"/>
  <c r="U46" i="4"/>
  <c r="H46" i="4"/>
  <c r="F46" i="4"/>
  <c r="E46" i="4"/>
  <c r="D46" i="5" s="1"/>
  <c r="D46" i="4"/>
  <c r="C46" i="4"/>
  <c r="U45" i="4"/>
  <c r="H45" i="4"/>
  <c r="F45" i="4"/>
  <c r="E45" i="4"/>
  <c r="D45" i="5" s="1"/>
  <c r="D45" i="4"/>
  <c r="C45" i="4"/>
  <c r="U44" i="4"/>
  <c r="H44" i="4"/>
  <c r="F44" i="4"/>
  <c r="E44" i="4"/>
  <c r="D44" i="5" s="1"/>
  <c r="D44" i="4"/>
  <c r="C44" i="4"/>
  <c r="U43" i="4"/>
  <c r="H43" i="4"/>
  <c r="F43" i="4"/>
  <c r="E43" i="4"/>
  <c r="D43" i="5" s="1"/>
  <c r="D43" i="4"/>
  <c r="C43" i="4"/>
  <c r="U42" i="4"/>
  <c r="H42" i="4"/>
  <c r="F42" i="4"/>
  <c r="E42" i="4"/>
  <c r="D42" i="5" s="1"/>
  <c r="D42" i="4"/>
  <c r="C42" i="4"/>
  <c r="U41" i="4"/>
  <c r="H41" i="4"/>
  <c r="F41" i="4"/>
  <c r="E41" i="4"/>
  <c r="D41" i="5" s="1"/>
  <c r="D41" i="4"/>
  <c r="C41" i="4"/>
  <c r="U40" i="4"/>
  <c r="H40" i="4"/>
  <c r="F40" i="4"/>
  <c r="E40" i="4"/>
  <c r="D40" i="5" s="1"/>
  <c r="D40" i="4"/>
  <c r="C40" i="4"/>
  <c r="U39" i="4"/>
  <c r="H39" i="4"/>
  <c r="F39" i="4"/>
  <c r="E39" i="4"/>
  <c r="D39" i="5" s="1"/>
  <c r="D39" i="4"/>
  <c r="C39" i="4"/>
  <c r="U38" i="4"/>
  <c r="H38" i="4"/>
  <c r="F38" i="4"/>
  <c r="E38" i="4"/>
  <c r="D38" i="5" s="1"/>
  <c r="D38" i="4"/>
  <c r="C38" i="4"/>
  <c r="U37" i="4"/>
  <c r="H37" i="4"/>
  <c r="F37" i="4"/>
  <c r="E37" i="4"/>
  <c r="D37" i="5" s="1"/>
  <c r="D37" i="4"/>
  <c r="C37" i="4"/>
  <c r="U36" i="4"/>
  <c r="H36" i="4"/>
  <c r="F36" i="4"/>
  <c r="E36" i="4"/>
  <c r="D36" i="5" s="1"/>
  <c r="D36" i="4"/>
  <c r="C36" i="4"/>
  <c r="U35" i="4"/>
  <c r="H35" i="4"/>
  <c r="F35" i="4"/>
  <c r="E35" i="4"/>
  <c r="D35" i="5" s="1"/>
  <c r="D35" i="4"/>
  <c r="C35" i="4"/>
  <c r="U34" i="4"/>
  <c r="H34" i="4"/>
  <c r="F34" i="4"/>
  <c r="E34" i="4"/>
  <c r="D34" i="5" s="1"/>
  <c r="D34" i="4"/>
  <c r="C34" i="4"/>
  <c r="U33" i="4"/>
  <c r="H33" i="4"/>
  <c r="F33" i="4"/>
  <c r="E33" i="4"/>
  <c r="D33" i="5" s="1"/>
  <c r="D33" i="4"/>
  <c r="C33" i="4"/>
  <c r="U32" i="4"/>
  <c r="H32" i="4"/>
  <c r="F32" i="4"/>
  <c r="E32" i="4"/>
  <c r="D32" i="5" s="1"/>
  <c r="D32" i="4"/>
  <c r="C32" i="4"/>
  <c r="U31" i="4"/>
  <c r="H31" i="4"/>
  <c r="F31" i="4"/>
  <c r="E31" i="4"/>
  <c r="D31" i="5" s="1"/>
  <c r="D31" i="4"/>
  <c r="C31" i="4"/>
  <c r="U30" i="4"/>
  <c r="H30" i="4"/>
  <c r="F30" i="4"/>
  <c r="E30" i="4"/>
  <c r="D30" i="5" s="1"/>
  <c r="D30" i="4"/>
  <c r="C30" i="4"/>
  <c r="U29" i="4"/>
  <c r="H29" i="4"/>
  <c r="F29" i="4"/>
  <c r="E29" i="4"/>
  <c r="D29" i="5" s="1"/>
  <c r="D29" i="4"/>
  <c r="C29" i="4"/>
  <c r="U28" i="4"/>
  <c r="H28" i="4"/>
  <c r="F28" i="4"/>
  <c r="E28" i="4"/>
  <c r="D28" i="5" s="1"/>
  <c r="D28" i="4"/>
  <c r="C28" i="4"/>
  <c r="U27" i="4"/>
  <c r="H27" i="4"/>
  <c r="F27" i="4"/>
  <c r="E27" i="4"/>
  <c r="D27" i="5" s="1"/>
  <c r="D27" i="4"/>
  <c r="C27" i="4"/>
  <c r="U26" i="4"/>
  <c r="H26" i="4"/>
  <c r="F26" i="4"/>
  <c r="E26" i="4"/>
  <c r="D26" i="5" s="1"/>
  <c r="D26" i="4"/>
  <c r="C26" i="4"/>
  <c r="U25" i="4"/>
  <c r="H25" i="4"/>
  <c r="F25" i="4"/>
  <c r="E25" i="4"/>
  <c r="D25" i="5" s="1"/>
  <c r="D25" i="4"/>
  <c r="C25" i="4"/>
  <c r="U24" i="4"/>
  <c r="H24" i="4"/>
  <c r="F24" i="4"/>
  <c r="E24" i="4"/>
  <c r="D24" i="5" s="1"/>
  <c r="D24" i="4"/>
  <c r="C24" i="4"/>
  <c r="U23" i="4"/>
  <c r="H23" i="4"/>
  <c r="F23" i="4"/>
  <c r="E23" i="4"/>
  <c r="D23" i="5" s="1"/>
  <c r="D23" i="4"/>
  <c r="C23" i="4"/>
  <c r="U22" i="4"/>
  <c r="H22" i="4"/>
  <c r="F22" i="4"/>
  <c r="E22" i="4"/>
  <c r="D22" i="5" s="1"/>
  <c r="D22" i="4"/>
  <c r="C22" i="4"/>
  <c r="U21" i="4"/>
  <c r="H21" i="4"/>
  <c r="F21" i="4"/>
  <c r="E21" i="4"/>
  <c r="D21" i="5" s="1"/>
  <c r="D21" i="4"/>
  <c r="C21" i="4"/>
  <c r="U20" i="4"/>
  <c r="H20" i="4"/>
  <c r="F20" i="4"/>
  <c r="E20" i="4"/>
  <c r="D20" i="5" s="1"/>
  <c r="D20" i="4"/>
  <c r="C20" i="4"/>
  <c r="U19" i="4"/>
  <c r="H19" i="4"/>
  <c r="F19" i="4"/>
  <c r="E19" i="4"/>
  <c r="D19" i="5" s="1"/>
  <c r="D19" i="4"/>
  <c r="C19" i="4"/>
  <c r="U18" i="4"/>
  <c r="H18" i="4"/>
  <c r="F18" i="4"/>
  <c r="E18" i="4"/>
  <c r="D18" i="5" s="1"/>
  <c r="D18" i="4"/>
  <c r="C18" i="4"/>
  <c r="U17" i="4"/>
  <c r="H17" i="4"/>
  <c r="F17" i="4"/>
  <c r="E17" i="4"/>
  <c r="D17" i="5" s="1"/>
  <c r="D17" i="4"/>
  <c r="C17" i="4"/>
  <c r="U16" i="4"/>
  <c r="H16" i="4"/>
  <c r="F16" i="4"/>
  <c r="E16" i="4"/>
  <c r="D16" i="5" s="1"/>
  <c r="D16" i="4"/>
  <c r="C16" i="4"/>
  <c r="U15" i="4"/>
  <c r="H15" i="4"/>
  <c r="F15" i="4"/>
  <c r="E15" i="4"/>
  <c r="D15" i="5" s="1"/>
  <c r="D15" i="4"/>
  <c r="C15" i="4"/>
  <c r="U14" i="4"/>
  <c r="H14" i="4"/>
  <c r="F14" i="4"/>
  <c r="E14" i="4"/>
  <c r="D14" i="5" s="1"/>
  <c r="D14" i="4"/>
  <c r="C14" i="4"/>
  <c r="U13" i="4"/>
  <c r="H13" i="4"/>
  <c r="F13" i="4"/>
  <c r="E13" i="4"/>
  <c r="D13" i="5" s="1"/>
  <c r="D13" i="4"/>
  <c r="C13" i="4"/>
  <c r="U12" i="4"/>
  <c r="H12" i="4"/>
  <c r="F12" i="4"/>
  <c r="E12" i="4"/>
  <c r="D12" i="5" s="1"/>
  <c r="D12" i="4"/>
  <c r="C12" i="4"/>
  <c r="U11" i="4"/>
  <c r="H11" i="4"/>
  <c r="F11" i="4"/>
  <c r="F6" i="7" s="1"/>
  <c r="E11" i="4"/>
  <c r="D11" i="4"/>
  <c r="C11" i="4"/>
  <c r="B7" i="7" s="1"/>
  <c r="U10" i="4"/>
  <c r="H10" i="4"/>
  <c r="F10" i="4"/>
  <c r="E10" i="4"/>
  <c r="D10" i="5" s="1"/>
  <c r="D10" i="4"/>
  <c r="C10" i="4"/>
  <c r="U9" i="4"/>
  <c r="H9" i="4"/>
  <c r="F9" i="4"/>
  <c r="E9" i="4"/>
  <c r="D9" i="5" s="1"/>
  <c r="D9" i="4"/>
  <c r="C9" i="4"/>
  <c r="U8" i="4"/>
  <c r="H8" i="4"/>
  <c r="F8" i="4"/>
  <c r="E8" i="4"/>
  <c r="D8" i="5" s="1"/>
  <c r="D8" i="4"/>
  <c r="C8" i="4"/>
  <c r="U7" i="4"/>
  <c r="H7" i="4"/>
  <c r="F7" i="4"/>
  <c r="E7" i="4"/>
  <c r="D7" i="5" s="1"/>
  <c r="D7" i="4"/>
  <c r="C7" i="4"/>
  <c r="U6" i="4"/>
  <c r="H6" i="4"/>
  <c r="F6" i="4"/>
  <c r="E6" i="4"/>
  <c r="D6" i="5" s="1"/>
  <c r="D6" i="4"/>
  <c r="C6" i="4"/>
  <c r="U5" i="4"/>
  <c r="H5" i="4"/>
  <c r="F5" i="4"/>
  <c r="E5" i="4"/>
  <c r="D5" i="5" s="1"/>
  <c r="D5" i="4"/>
  <c r="C5" i="4"/>
  <c r="AC2" i="4"/>
  <c r="U2" i="4"/>
  <c r="S2" i="4"/>
  <c r="R2" i="4"/>
  <c r="Q2" i="4"/>
  <c r="P2" i="4"/>
  <c r="O2" i="4"/>
  <c r="N2" i="4"/>
  <c r="K2" i="4"/>
  <c r="J2" i="4"/>
  <c r="I2" i="4"/>
  <c r="H2" i="4"/>
  <c r="G2" i="4"/>
  <c r="C157" i="6" l="1"/>
  <c r="C157" i="5"/>
  <c r="C156" i="6"/>
  <c r="C156" i="5"/>
  <c r="C155" i="6"/>
  <c r="C155" i="5"/>
  <c r="C154" i="6"/>
  <c r="C154" i="5"/>
  <c r="C153" i="6"/>
  <c r="C153" i="5"/>
  <c r="C152" i="6"/>
  <c r="C152" i="5"/>
  <c r="C151" i="6"/>
  <c r="C151" i="5"/>
  <c r="C150" i="6"/>
  <c r="C150" i="5"/>
  <c r="C149" i="6"/>
  <c r="C149" i="5"/>
  <c r="C148" i="6"/>
  <c r="C148" i="5"/>
  <c r="C147" i="6"/>
  <c r="C147" i="5"/>
  <c r="C146" i="6"/>
  <c r="C146" i="5"/>
  <c r="C145" i="6"/>
  <c r="C145" i="5"/>
  <c r="C144" i="6"/>
  <c r="C144" i="5"/>
  <c r="C143" i="6"/>
  <c r="C143" i="5"/>
  <c r="C142" i="6"/>
  <c r="C142" i="5"/>
  <c r="C141" i="6"/>
  <c r="C141" i="5"/>
  <c r="C140" i="6"/>
  <c r="C140" i="5"/>
  <c r="C139" i="6"/>
  <c r="C139" i="5"/>
  <c r="C138" i="6"/>
  <c r="C138" i="5"/>
  <c r="C137" i="6"/>
  <c r="C137" i="5"/>
  <c r="C136" i="6"/>
  <c r="C136" i="5"/>
  <c r="C135" i="6"/>
  <c r="C135" i="5"/>
  <c r="C134" i="6"/>
  <c r="C134" i="5"/>
  <c r="C133" i="6"/>
  <c r="C133" i="5"/>
  <c r="C132" i="6"/>
  <c r="C132" i="5"/>
  <c r="C131" i="6"/>
  <c r="C131" i="5"/>
  <c r="C130" i="6"/>
  <c r="C130" i="5"/>
  <c r="C129" i="6"/>
  <c r="C129" i="5"/>
  <c r="C128" i="6"/>
  <c r="C128" i="5"/>
  <c r="C127" i="6"/>
  <c r="C127" i="5"/>
  <c r="C126" i="6"/>
  <c r="C126" i="5"/>
  <c r="C125" i="6"/>
  <c r="C125" i="5"/>
  <c r="C124" i="6"/>
  <c r="C124" i="5"/>
  <c r="C123" i="6"/>
  <c r="C123" i="5"/>
  <c r="C54" i="6"/>
  <c r="C54" i="5"/>
  <c r="C53" i="6"/>
  <c r="C53" i="5"/>
  <c r="C52" i="6"/>
  <c r="C52" i="5"/>
  <c r="C51" i="6"/>
  <c r="C51" i="5"/>
  <c r="C50" i="6"/>
  <c r="C50" i="5"/>
  <c r="C49" i="6"/>
  <c r="C49" i="5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M220" i="4"/>
  <c r="L220" i="4"/>
  <c r="T220" i="4" s="1"/>
  <c r="M219" i="4"/>
  <c r="L219" i="4"/>
  <c r="T219" i="4" s="1"/>
  <c r="M218" i="4"/>
  <c r="L218" i="4"/>
  <c r="T218" i="4" s="1"/>
  <c r="M217" i="4"/>
  <c r="L217" i="4"/>
  <c r="T217" i="4" s="1"/>
  <c r="M216" i="4"/>
  <c r="L216" i="4"/>
  <c r="T216" i="4" s="1"/>
  <c r="M215" i="4"/>
  <c r="L215" i="4"/>
  <c r="T215" i="4" s="1"/>
  <c r="L214" i="4"/>
  <c r="M214" i="4"/>
  <c r="M213" i="4"/>
  <c r="L213" i="4"/>
  <c r="T213" i="4" s="1"/>
  <c r="M212" i="4"/>
  <c r="L212" i="4"/>
  <c r="T212" i="4" s="1"/>
  <c r="L211" i="4"/>
  <c r="M211" i="4"/>
  <c r="M210" i="4"/>
  <c r="L210" i="4"/>
  <c r="T210" i="4" s="1"/>
  <c r="L209" i="4"/>
  <c r="M209" i="4"/>
  <c r="M208" i="4"/>
  <c r="L208" i="4"/>
  <c r="T208" i="4" s="1"/>
  <c r="M207" i="4"/>
  <c r="L207" i="4"/>
  <c r="T207" i="4" s="1"/>
  <c r="L206" i="4"/>
  <c r="M206" i="4"/>
  <c r="M205" i="4"/>
  <c r="L205" i="4"/>
  <c r="T205" i="4" s="1"/>
  <c r="L204" i="4"/>
  <c r="M204" i="4"/>
  <c r="L203" i="4"/>
  <c r="M203" i="4"/>
  <c r="M202" i="4"/>
  <c r="L202" i="4"/>
  <c r="T202" i="4" s="1"/>
  <c r="L201" i="4"/>
  <c r="M201" i="4"/>
  <c r="L200" i="4"/>
  <c r="M200" i="4"/>
  <c r="L199" i="4"/>
  <c r="M199" i="4"/>
  <c r="M198" i="4"/>
  <c r="L198" i="4"/>
  <c r="T198" i="4" s="1"/>
  <c r="M197" i="4"/>
  <c r="L197" i="4"/>
  <c r="T197" i="4" s="1"/>
  <c r="M196" i="4"/>
  <c r="L196" i="4"/>
  <c r="T196" i="4" s="1"/>
  <c r="M195" i="4"/>
  <c r="L195" i="4"/>
  <c r="T195" i="4" s="1"/>
  <c r="M194" i="4"/>
  <c r="L194" i="4"/>
  <c r="T194" i="4" s="1"/>
  <c r="L193" i="4"/>
  <c r="M193" i="4"/>
  <c r="M192" i="4"/>
  <c r="L192" i="4"/>
  <c r="M191" i="4"/>
  <c r="L191" i="4"/>
  <c r="T191" i="4" s="1"/>
  <c r="L190" i="4"/>
  <c r="M190" i="4"/>
  <c r="M189" i="4"/>
  <c r="L189" i="4"/>
  <c r="T189" i="4" s="1"/>
  <c r="L188" i="4"/>
  <c r="M188" i="4"/>
  <c r="M187" i="4"/>
  <c r="L187" i="4"/>
  <c r="T187" i="4" s="1"/>
  <c r="L186" i="4"/>
  <c r="M186" i="4"/>
  <c r="L185" i="4"/>
  <c r="M185" i="4"/>
  <c r="M184" i="4"/>
  <c r="L184" i="4"/>
  <c r="T184" i="4" s="1"/>
  <c r="M183" i="4"/>
  <c r="L183" i="4"/>
  <c r="T183" i="4" s="1"/>
  <c r="M182" i="4"/>
  <c r="L182" i="4"/>
  <c r="T182" i="4" s="1"/>
  <c r="L181" i="4"/>
  <c r="M181" i="4"/>
  <c r="L180" i="4"/>
  <c r="M180" i="4"/>
  <c r="L179" i="4"/>
  <c r="M179" i="4"/>
  <c r="L178" i="4"/>
  <c r="M178" i="4"/>
  <c r="L177" i="4"/>
  <c r="M177" i="4"/>
  <c r="M176" i="4"/>
  <c r="L176" i="4"/>
  <c r="T176" i="4" s="1"/>
  <c r="M175" i="4"/>
  <c r="L175" i="4"/>
  <c r="T175" i="4" s="1"/>
  <c r="L174" i="4"/>
  <c r="M174" i="4"/>
  <c r="M173" i="4"/>
  <c r="L173" i="4"/>
  <c r="T173" i="4" s="1"/>
  <c r="M172" i="4"/>
  <c r="L172" i="4"/>
  <c r="T172" i="4" s="1"/>
  <c r="M171" i="4"/>
  <c r="L171" i="4"/>
  <c r="T171" i="4" s="1"/>
  <c r="M170" i="4"/>
  <c r="L170" i="4"/>
  <c r="T170" i="4" s="1"/>
  <c r="M169" i="4"/>
  <c r="L169" i="4"/>
  <c r="T169" i="4" s="1"/>
  <c r="M168" i="4"/>
  <c r="L168" i="4"/>
  <c r="T168" i="4" s="1"/>
  <c r="C168" i="6"/>
  <c r="C168" i="5"/>
  <c r="M167" i="4"/>
  <c r="L167" i="4"/>
  <c r="T167" i="4" s="1"/>
  <c r="C167" i="6"/>
  <c r="C167" i="5"/>
  <c r="L166" i="4"/>
  <c r="M166" i="4"/>
  <c r="C166" i="6"/>
  <c r="C166" i="5"/>
  <c r="M165" i="4"/>
  <c r="L165" i="4"/>
  <c r="T165" i="4" s="1"/>
  <c r="C165" i="6"/>
  <c r="C165" i="5"/>
  <c r="L164" i="4"/>
  <c r="M164" i="4"/>
  <c r="C164" i="6"/>
  <c r="C164" i="5"/>
  <c r="M163" i="4"/>
  <c r="L163" i="4"/>
  <c r="T163" i="4" s="1"/>
  <c r="C163" i="6"/>
  <c r="C163" i="5"/>
  <c r="M162" i="4"/>
  <c r="L162" i="4"/>
  <c r="T162" i="4" s="1"/>
  <c r="C162" i="6"/>
  <c r="C162" i="5"/>
  <c r="M161" i="4"/>
  <c r="L161" i="4"/>
  <c r="T161" i="4" s="1"/>
  <c r="C161" i="6"/>
  <c r="C161" i="5"/>
  <c r="M160" i="4"/>
  <c r="L160" i="4"/>
  <c r="T160" i="4" s="1"/>
  <c r="C160" i="6"/>
  <c r="C160" i="5"/>
  <c r="L159" i="4"/>
  <c r="M159" i="4"/>
  <c r="C159" i="5"/>
  <c r="C159" i="6"/>
  <c r="M158" i="4"/>
  <c r="L158" i="4"/>
  <c r="T158" i="4" s="1"/>
  <c r="C158" i="6"/>
  <c r="C158" i="5"/>
  <c r="M157" i="4"/>
  <c r="L157" i="4"/>
  <c r="T157" i="4" s="1"/>
  <c r="M156" i="4"/>
  <c r="L156" i="4"/>
  <c r="T156" i="4" s="1"/>
  <c r="M155" i="4"/>
  <c r="L155" i="4"/>
  <c r="T155" i="4" s="1"/>
  <c r="M154" i="4"/>
  <c r="L154" i="4"/>
  <c r="T154" i="4" s="1"/>
  <c r="M153" i="4"/>
  <c r="L153" i="4"/>
  <c r="T153" i="4" s="1"/>
  <c r="M152" i="4"/>
  <c r="L152" i="4"/>
  <c r="T152" i="4" s="1"/>
  <c r="M151" i="4"/>
  <c r="L151" i="4"/>
  <c r="T151" i="4" s="1"/>
  <c r="M150" i="4"/>
  <c r="L150" i="4"/>
  <c r="T150" i="4" s="1"/>
  <c r="M149" i="4"/>
  <c r="L149" i="4"/>
  <c r="T149" i="4" s="1"/>
  <c r="M148" i="4"/>
  <c r="L148" i="4"/>
  <c r="T148" i="4" s="1"/>
  <c r="M147" i="4"/>
  <c r="L147" i="4"/>
  <c r="T147" i="4" s="1"/>
  <c r="M146" i="4"/>
  <c r="L146" i="4"/>
  <c r="T146" i="4" s="1"/>
  <c r="M145" i="4"/>
  <c r="L145" i="4"/>
  <c r="T145" i="4" s="1"/>
  <c r="L144" i="4"/>
  <c r="M144" i="4"/>
  <c r="M143" i="4"/>
  <c r="L143" i="4"/>
  <c r="T143" i="4" s="1"/>
  <c r="M142" i="4"/>
  <c r="L142" i="4"/>
  <c r="T142" i="4" s="1"/>
  <c r="M141" i="4"/>
  <c r="L141" i="4"/>
  <c r="T141" i="4" s="1"/>
  <c r="M140" i="4"/>
  <c r="L140" i="4"/>
  <c r="T140" i="4" s="1"/>
  <c r="M139" i="4"/>
  <c r="L139" i="4"/>
  <c r="T139" i="4" s="1"/>
  <c r="M138" i="4"/>
  <c r="L138" i="4"/>
  <c r="T138" i="4" s="1"/>
  <c r="L137" i="4"/>
  <c r="M137" i="4"/>
  <c r="M136" i="4"/>
  <c r="L136" i="4"/>
  <c r="T136" i="4" s="1"/>
  <c r="M135" i="4"/>
  <c r="L135" i="4"/>
  <c r="T135" i="4" s="1"/>
  <c r="L134" i="4"/>
  <c r="M134" i="4"/>
  <c r="L133" i="4"/>
  <c r="M133" i="4"/>
  <c r="L132" i="4"/>
  <c r="M132" i="4"/>
  <c r="M131" i="4"/>
  <c r="L131" i="4"/>
  <c r="T131" i="4" s="1"/>
  <c r="L130" i="4"/>
  <c r="M130" i="4"/>
  <c r="M129" i="4"/>
  <c r="L129" i="4"/>
  <c r="T129" i="4" s="1"/>
  <c r="M128" i="4"/>
  <c r="L128" i="4"/>
  <c r="T128" i="4" s="1"/>
  <c r="M127" i="4"/>
  <c r="L127" i="4"/>
  <c r="T127" i="4" s="1"/>
  <c r="L126" i="4"/>
  <c r="M126" i="4"/>
  <c r="M125" i="4"/>
  <c r="L125" i="4"/>
  <c r="T125" i="4" s="1"/>
  <c r="M124" i="4"/>
  <c r="L124" i="4"/>
  <c r="T124" i="4" s="1"/>
  <c r="M123" i="4"/>
  <c r="L123" i="4"/>
  <c r="T123" i="4" s="1"/>
  <c r="L122" i="4"/>
  <c r="M122" i="4"/>
  <c r="C122" i="6"/>
  <c r="C122" i="5"/>
  <c r="L121" i="4"/>
  <c r="M121" i="4"/>
  <c r="C121" i="5"/>
  <c r="C121" i="6"/>
  <c r="M120" i="4"/>
  <c r="L120" i="4"/>
  <c r="T120" i="4" s="1"/>
  <c r="C120" i="6"/>
  <c r="C120" i="5"/>
  <c r="L119" i="4"/>
  <c r="M119" i="4"/>
  <c r="C119" i="6"/>
  <c r="C119" i="5"/>
  <c r="L118" i="4"/>
  <c r="M118" i="4"/>
  <c r="C118" i="5"/>
  <c r="C118" i="6"/>
  <c r="L117" i="4"/>
  <c r="M117" i="4"/>
  <c r="C117" i="6"/>
  <c r="C117" i="5"/>
  <c r="M116" i="4"/>
  <c r="L116" i="4"/>
  <c r="T116" i="4" s="1"/>
  <c r="C116" i="6"/>
  <c r="C116" i="5"/>
  <c r="L115" i="4"/>
  <c r="M115" i="4"/>
  <c r="C115" i="5"/>
  <c r="C115" i="6"/>
  <c r="L114" i="4"/>
  <c r="M114" i="4"/>
  <c r="C114" i="6"/>
  <c r="C114" i="5"/>
  <c r="L113" i="4"/>
  <c r="M113" i="4"/>
  <c r="C113" i="5"/>
  <c r="C113" i="6"/>
  <c r="M112" i="4"/>
  <c r="L112" i="4"/>
  <c r="T112" i="4" s="1"/>
  <c r="C112" i="5"/>
  <c r="C112" i="6"/>
  <c r="M111" i="4"/>
  <c r="L111" i="4"/>
  <c r="T111" i="4" s="1"/>
  <c r="C111" i="5"/>
  <c r="C111" i="6"/>
  <c r="L110" i="4"/>
  <c r="M110" i="4"/>
  <c r="C110" i="5"/>
  <c r="C110" i="6"/>
  <c r="M109" i="4"/>
  <c r="L109" i="4"/>
  <c r="T109" i="4" s="1"/>
  <c r="C109" i="5"/>
  <c r="C109" i="6"/>
  <c r="M108" i="4"/>
  <c r="L108" i="4"/>
  <c r="T108" i="4" s="1"/>
  <c r="C108" i="5"/>
  <c r="C108" i="6"/>
  <c r="M107" i="4"/>
  <c r="L107" i="4"/>
  <c r="C107" i="5"/>
  <c r="C107" i="6"/>
  <c r="L106" i="4"/>
  <c r="M106" i="4"/>
  <c r="C106" i="5"/>
  <c r="C106" i="6"/>
  <c r="M105" i="4"/>
  <c r="L105" i="4"/>
  <c r="T105" i="4" s="1"/>
  <c r="C105" i="5"/>
  <c r="C105" i="6"/>
  <c r="M104" i="4"/>
  <c r="L104" i="4"/>
  <c r="T104" i="4" s="1"/>
  <c r="C104" i="6"/>
  <c r="C104" i="5"/>
  <c r="M103" i="4"/>
  <c r="L103" i="4"/>
  <c r="T103" i="4" s="1"/>
  <c r="C103" i="6"/>
  <c r="C103" i="5"/>
  <c r="M102" i="4"/>
  <c r="L102" i="4"/>
  <c r="T102" i="4" s="1"/>
  <c r="C102" i="6"/>
  <c r="C102" i="5"/>
  <c r="M101" i="4"/>
  <c r="L101" i="4"/>
  <c r="C101" i="5"/>
  <c r="C101" i="6"/>
  <c r="L100" i="4"/>
  <c r="M100" i="4"/>
  <c r="C100" i="5"/>
  <c r="C100" i="6"/>
  <c r="M99" i="4"/>
  <c r="L99" i="4"/>
  <c r="T99" i="4" s="1"/>
  <c r="C99" i="6"/>
  <c r="C99" i="5"/>
  <c r="M98" i="4"/>
  <c r="L98" i="4"/>
  <c r="T98" i="4" s="1"/>
  <c r="C98" i="5"/>
  <c r="C98" i="6"/>
  <c r="M97" i="4"/>
  <c r="L97" i="4"/>
  <c r="T97" i="4" s="1"/>
  <c r="C97" i="6"/>
  <c r="C97" i="5"/>
  <c r="L96" i="4"/>
  <c r="M96" i="4"/>
  <c r="C96" i="5"/>
  <c r="C96" i="6"/>
  <c r="L95" i="4"/>
  <c r="M95" i="4"/>
  <c r="C95" i="5"/>
  <c r="C95" i="6"/>
  <c r="L94" i="4"/>
  <c r="M94" i="4"/>
  <c r="C94" i="6"/>
  <c r="C94" i="5"/>
  <c r="M93" i="4"/>
  <c r="L93" i="4"/>
  <c r="T93" i="4" s="1"/>
  <c r="C93" i="6"/>
  <c r="C93" i="5"/>
  <c r="L92" i="4"/>
  <c r="M92" i="4"/>
  <c r="C92" i="6"/>
  <c r="C92" i="5"/>
  <c r="M91" i="4"/>
  <c r="L91" i="4"/>
  <c r="T91" i="4" s="1"/>
  <c r="C91" i="6"/>
  <c r="C91" i="5"/>
  <c r="L90" i="4"/>
  <c r="M90" i="4"/>
  <c r="C90" i="6"/>
  <c r="C90" i="5"/>
  <c r="M89" i="4"/>
  <c r="L89" i="4"/>
  <c r="T89" i="4" s="1"/>
  <c r="C89" i="6"/>
  <c r="C89" i="5"/>
  <c r="L88" i="4"/>
  <c r="M88" i="4"/>
  <c r="C88" i="5"/>
  <c r="C88" i="6"/>
  <c r="M87" i="4"/>
  <c r="L87" i="4"/>
  <c r="T87" i="4" s="1"/>
  <c r="C87" i="6"/>
  <c r="C87" i="5"/>
  <c r="L86" i="4"/>
  <c r="M86" i="4"/>
  <c r="C86" i="6"/>
  <c r="C86" i="5"/>
  <c r="L85" i="4"/>
  <c r="M85" i="4"/>
  <c r="C85" i="5"/>
  <c r="C85" i="6"/>
  <c r="L84" i="4"/>
  <c r="M84" i="4"/>
  <c r="C84" i="5"/>
  <c r="C84" i="6"/>
  <c r="M83" i="4"/>
  <c r="L83" i="4"/>
  <c r="T83" i="4" s="1"/>
  <c r="C83" i="6"/>
  <c r="C83" i="5"/>
  <c r="M82" i="4"/>
  <c r="L82" i="4"/>
  <c r="T82" i="4" s="1"/>
  <c r="C82" i="5"/>
  <c r="C82" i="6"/>
  <c r="M81" i="4"/>
  <c r="L81" i="4"/>
  <c r="T81" i="4" s="1"/>
  <c r="C81" i="5"/>
  <c r="C81" i="6"/>
  <c r="M80" i="4"/>
  <c r="L80" i="4"/>
  <c r="T80" i="4" s="1"/>
  <c r="C80" i="6"/>
  <c r="C80" i="5"/>
  <c r="M79" i="4"/>
  <c r="L79" i="4"/>
  <c r="T79" i="4" s="1"/>
  <c r="C79" i="5"/>
  <c r="C79" i="6"/>
  <c r="L78" i="4"/>
  <c r="M78" i="4"/>
  <c r="C78" i="6"/>
  <c r="C78" i="5"/>
  <c r="L77" i="4"/>
  <c r="M77" i="4"/>
  <c r="C77" i="6"/>
  <c r="C77" i="5"/>
  <c r="M76" i="4"/>
  <c r="L76" i="4"/>
  <c r="T76" i="4" s="1"/>
  <c r="C76" i="6"/>
  <c r="C76" i="5"/>
  <c r="L75" i="4"/>
  <c r="M75" i="4"/>
  <c r="C75" i="6"/>
  <c r="C75" i="5"/>
  <c r="L74" i="4"/>
  <c r="M74" i="4"/>
  <c r="C74" i="5"/>
  <c r="C74" i="6"/>
  <c r="M73" i="4"/>
  <c r="L73" i="4"/>
  <c r="T73" i="4" s="1"/>
  <c r="C73" i="5"/>
  <c r="C73" i="6"/>
  <c r="L72" i="4"/>
  <c r="M72" i="4"/>
  <c r="C72" i="6"/>
  <c r="C72" i="5"/>
  <c r="L71" i="4"/>
  <c r="M71" i="4"/>
  <c r="C71" i="5"/>
  <c r="C71" i="6"/>
  <c r="L70" i="4"/>
  <c r="M70" i="4"/>
  <c r="C70" i="5"/>
  <c r="C70" i="6"/>
  <c r="M69" i="4"/>
  <c r="L69" i="4"/>
  <c r="T69" i="4" s="1"/>
  <c r="C69" i="5"/>
  <c r="C69" i="6"/>
  <c r="M68" i="4"/>
  <c r="L68" i="4"/>
  <c r="T68" i="4" s="1"/>
  <c r="C68" i="5"/>
  <c r="C68" i="6"/>
  <c r="L67" i="4"/>
  <c r="M67" i="4"/>
  <c r="C67" i="5"/>
  <c r="C67" i="6"/>
  <c r="L66" i="4"/>
  <c r="M66" i="4"/>
  <c r="C66" i="6"/>
  <c r="C66" i="5"/>
  <c r="L65" i="4"/>
  <c r="M65" i="4"/>
  <c r="C65" i="5"/>
  <c r="C65" i="6"/>
  <c r="L64" i="4"/>
  <c r="M64" i="4"/>
  <c r="C64" i="6"/>
  <c r="C64" i="5"/>
  <c r="L63" i="4"/>
  <c r="M63" i="4"/>
  <c r="C63" i="5"/>
  <c r="C63" i="6"/>
  <c r="L62" i="4"/>
  <c r="M62" i="4"/>
  <c r="C62" i="5"/>
  <c r="C62" i="6"/>
  <c r="M61" i="4"/>
  <c r="L61" i="4"/>
  <c r="T61" i="4" s="1"/>
  <c r="C61" i="5"/>
  <c r="C61" i="6"/>
  <c r="M60" i="4"/>
  <c r="L60" i="4"/>
  <c r="T60" i="4" s="1"/>
  <c r="C60" i="5"/>
  <c r="C60" i="6"/>
  <c r="L59" i="4"/>
  <c r="M59" i="4"/>
  <c r="C59" i="5"/>
  <c r="C59" i="6"/>
  <c r="M58" i="4"/>
  <c r="L58" i="4"/>
  <c r="T58" i="4" s="1"/>
  <c r="C58" i="5"/>
  <c r="C58" i="6"/>
  <c r="M57" i="4"/>
  <c r="L57" i="4"/>
  <c r="T57" i="4" s="1"/>
  <c r="C57" i="6"/>
  <c r="C57" i="5"/>
  <c r="L56" i="4"/>
  <c r="M56" i="4"/>
  <c r="C56" i="6"/>
  <c r="C56" i="5"/>
  <c r="M55" i="4"/>
  <c r="L55" i="4"/>
  <c r="T55" i="4" s="1"/>
  <c r="C55" i="5"/>
  <c r="C55" i="6"/>
  <c r="L54" i="4"/>
  <c r="M54" i="4"/>
  <c r="L53" i="4"/>
  <c r="M53" i="4"/>
  <c r="L52" i="4"/>
  <c r="M52" i="4"/>
  <c r="M51" i="4"/>
  <c r="L51" i="4"/>
  <c r="T51" i="4" s="1"/>
  <c r="M50" i="4"/>
  <c r="L50" i="4"/>
  <c r="T50" i="4" s="1"/>
  <c r="M49" i="4"/>
  <c r="L49" i="4"/>
  <c r="T49" i="4" s="1"/>
  <c r="M48" i="4"/>
  <c r="L48" i="4"/>
  <c r="T48" i="4" s="1"/>
  <c r="C48" i="5"/>
  <c r="C48" i="6"/>
  <c r="M47" i="4"/>
  <c r="L47" i="4"/>
  <c r="T47" i="4" s="1"/>
  <c r="C47" i="5"/>
  <c r="C47" i="6"/>
  <c r="M46" i="4"/>
  <c r="L46" i="4"/>
  <c r="T46" i="4" s="1"/>
  <c r="C46" i="5"/>
  <c r="C46" i="6"/>
  <c r="L45" i="4"/>
  <c r="M45" i="4"/>
  <c r="C45" i="5"/>
  <c r="C45" i="6"/>
  <c r="L44" i="4"/>
  <c r="M44" i="4"/>
  <c r="C44" i="6"/>
  <c r="C44" i="5"/>
  <c r="M43" i="4"/>
  <c r="L43" i="4"/>
  <c r="T43" i="4" s="1"/>
  <c r="C43" i="6"/>
  <c r="C43" i="5"/>
  <c r="M42" i="4"/>
  <c r="L42" i="4"/>
  <c r="T42" i="4" s="1"/>
  <c r="C42" i="6"/>
  <c r="C42" i="5"/>
  <c r="M41" i="4"/>
  <c r="L41" i="4"/>
  <c r="T41" i="4" s="1"/>
  <c r="C41" i="5"/>
  <c r="C41" i="6"/>
  <c r="M40" i="4"/>
  <c r="L40" i="4"/>
  <c r="T40" i="4" s="1"/>
  <c r="C40" i="5"/>
  <c r="C40" i="6"/>
  <c r="M39" i="4"/>
  <c r="L39" i="4"/>
  <c r="T39" i="4" s="1"/>
  <c r="C39" i="5"/>
  <c r="C39" i="6"/>
  <c r="L38" i="4"/>
  <c r="M38" i="4"/>
  <c r="C38" i="6"/>
  <c r="C38" i="5"/>
  <c r="M37" i="4"/>
  <c r="L37" i="4"/>
  <c r="T37" i="4" s="1"/>
  <c r="C37" i="5"/>
  <c r="C37" i="6"/>
  <c r="M36" i="4"/>
  <c r="L36" i="4"/>
  <c r="T36" i="4" s="1"/>
  <c r="C36" i="5"/>
  <c r="C36" i="6"/>
  <c r="M35" i="4"/>
  <c r="L35" i="4"/>
  <c r="T35" i="4" s="1"/>
  <c r="C35" i="6"/>
  <c r="C35" i="5"/>
  <c r="M34" i="4"/>
  <c r="L34" i="4"/>
  <c r="T34" i="4" s="1"/>
  <c r="C34" i="6"/>
  <c r="C34" i="5"/>
  <c r="M33" i="4"/>
  <c r="L33" i="4"/>
  <c r="T33" i="4" s="1"/>
  <c r="C33" i="6"/>
  <c r="C33" i="5"/>
  <c r="M32" i="4"/>
  <c r="L32" i="4"/>
  <c r="T32" i="4" s="1"/>
  <c r="C32" i="6"/>
  <c r="C32" i="5"/>
  <c r="M31" i="4"/>
  <c r="L31" i="4"/>
  <c r="T31" i="4" s="1"/>
  <c r="C31" i="6"/>
  <c r="C31" i="5"/>
  <c r="L30" i="4"/>
  <c r="M30" i="4"/>
  <c r="C30" i="6"/>
  <c r="C30" i="5"/>
  <c r="M29" i="4"/>
  <c r="L29" i="4"/>
  <c r="T29" i="4" s="1"/>
  <c r="C29" i="5"/>
  <c r="C29" i="6"/>
  <c r="M28" i="4"/>
  <c r="L28" i="4"/>
  <c r="T28" i="4" s="1"/>
  <c r="C28" i="5"/>
  <c r="C28" i="6"/>
  <c r="L27" i="4"/>
  <c r="M27" i="4"/>
  <c r="C27" i="5"/>
  <c r="C27" i="6"/>
  <c r="L26" i="4"/>
  <c r="M26" i="4"/>
  <c r="C26" i="5"/>
  <c r="C26" i="6"/>
  <c r="M25" i="4"/>
  <c r="L25" i="4"/>
  <c r="T25" i="4" s="1"/>
  <c r="C25" i="5"/>
  <c r="C25" i="6"/>
  <c r="L24" i="4"/>
  <c r="M24" i="4"/>
  <c r="C24" i="5"/>
  <c r="C24" i="6"/>
  <c r="L23" i="4"/>
  <c r="M23" i="4"/>
  <c r="C23" i="5"/>
  <c r="C23" i="6"/>
  <c r="L22" i="4"/>
  <c r="M22" i="4"/>
  <c r="C22" i="5"/>
  <c r="C22" i="6"/>
  <c r="L21" i="4"/>
  <c r="M21" i="4"/>
  <c r="C21" i="6"/>
  <c r="C21" i="5"/>
  <c r="L20" i="4"/>
  <c r="M20" i="4"/>
  <c r="C20" i="5"/>
  <c r="C20" i="6"/>
  <c r="M19" i="4"/>
  <c r="L19" i="4"/>
  <c r="T19" i="4" s="1"/>
  <c r="C19" i="5"/>
  <c r="C19" i="6"/>
  <c r="M18" i="4"/>
  <c r="L18" i="4"/>
  <c r="T18" i="4" s="1"/>
  <c r="C18" i="5"/>
  <c r="C18" i="6"/>
  <c r="M17" i="4"/>
  <c r="L17" i="4"/>
  <c r="T17" i="4" s="1"/>
  <c r="C17" i="5"/>
  <c r="C17" i="6"/>
  <c r="M16" i="4"/>
  <c r="L16" i="4"/>
  <c r="T16" i="4" s="1"/>
  <c r="C16" i="6"/>
  <c r="C16" i="5"/>
  <c r="M15" i="4"/>
  <c r="L15" i="4"/>
  <c r="T15" i="4" s="1"/>
  <c r="C15" i="6"/>
  <c r="C15" i="5"/>
  <c r="L14" i="4"/>
  <c r="M14" i="4"/>
  <c r="C14" i="5"/>
  <c r="C14" i="6"/>
  <c r="M13" i="4"/>
  <c r="L13" i="4"/>
  <c r="T13" i="4" s="1"/>
  <c r="C13" i="6"/>
  <c r="C13" i="5"/>
  <c r="M12" i="4"/>
  <c r="L12" i="4"/>
  <c r="T12" i="4" s="1"/>
  <c r="C12" i="6"/>
  <c r="C12" i="5"/>
  <c r="D7" i="7"/>
  <c r="M11" i="4"/>
  <c r="C14" i="7" s="1"/>
  <c r="L11" i="4"/>
  <c r="D11" i="5"/>
  <c r="D6" i="7"/>
  <c r="B6" i="7"/>
  <c r="C11" i="6"/>
  <c r="C11" i="5"/>
  <c r="L10" i="4"/>
  <c r="M10" i="4"/>
  <c r="C10" i="5"/>
  <c r="C10" i="6"/>
  <c r="L9" i="4"/>
  <c r="M9" i="4"/>
  <c r="C9" i="5"/>
  <c r="C9" i="6"/>
  <c r="M8" i="4"/>
  <c r="L8" i="4"/>
  <c r="T8" i="4" s="1"/>
  <c r="C8" i="6"/>
  <c r="C8" i="5"/>
  <c r="M7" i="4"/>
  <c r="L7" i="4"/>
  <c r="T7" i="4" s="1"/>
  <c r="C7" i="5"/>
  <c r="C7" i="6"/>
  <c r="M6" i="4"/>
  <c r="L6" i="4"/>
  <c r="T6" i="4" s="1"/>
  <c r="C6" i="5"/>
  <c r="C6" i="6"/>
  <c r="M5" i="4"/>
  <c r="L5" i="4"/>
  <c r="C5" i="5"/>
  <c r="C5" i="6"/>
  <c r="T192" i="4" l="1"/>
  <c r="T180" i="4"/>
  <c r="T179" i="4"/>
  <c r="T107" i="4"/>
  <c r="V107" i="4" s="1"/>
  <c r="T54" i="4"/>
  <c r="V54" i="4" s="1"/>
  <c r="T21" i="4"/>
  <c r="V21" i="4" s="1"/>
  <c r="T14" i="4"/>
  <c r="V14" i="4" s="1"/>
  <c r="T10" i="4"/>
  <c r="M2" i="4"/>
  <c r="V220" i="4"/>
  <c r="V219" i="4"/>
  <c r="V218" i="4"/>
  <c r="V217" i="4"/>
  <c r="V216" i="4"/>
  <c r="V215" i="4"/>
  <c r="V213" i="4"/>
  <c r="V212" i="4"/>
  <c r="V210" i="4"/>
  <c r="V208" i="4"/>
  <c r="V207" i="4"/>
  <c r="V205" i="4"/>
  <c r="V202" i="4"/>
  <c r="V198" i="4"/>
  <c r="V197" i="4"/>
  <c r="V196" i="4"/>
  <c r="V195" i="4"/>
  <c r="V194" i="4"/>
  <c r="V192" i="4"/>
  <c r="V191" i="4"/>
  <c r="V189" i="4"/>
  <c r="V187" i="4"/>
  <c r="V184" i="4"/>
  <c r="V183" i="4"/>
  <c r="V182" i="4"/>
  <c r="V180" i="4"/>
  <c r="V179" i="4"/>
  <c r="V176" i="4"/>
  <c r="V175" i="4"/>
  <c r="V173" i="4"/>
  <c r="V172" i="4"/>
  <c r="V171" i="4"/>
  <c r="V170" i="4"/>
  <c r="V169" i="4"/>
  <c r="V168" i="4"/>
  <c r="V167" i="4"/>
  <c r="V165" i="4"/>
  <c r="V163" i="4"/>
  <c r="V162" i="4"/>
  <c r="V161" i="4"/>
  <c r="V160" i="4"/>
  <c r="V158" i="4"/>
  <c r="V157" i="4"/>
  <c r="V156" i="4"/>
  <c r="V155" i="4"/>
  <c r="V154" i="4"/>
  <c r="V153" i="4"/>
  <c r="V152" i="4"/>
  <c r="V151" i="4"/>
  <c r="V150" i="4"/>
  <c r="V149" i="4"/>
  <c r="V148" i="4"/>
  <c r="V147" i="4"/>
  <c r="V146" i="4"/>
  <c r="V145" i="4"/>
  <c r="V143" i="4"/>
  <c r="V142" i="4"/>
  <c r="V141" i="4"/>
  <c r="V140" i="4"/>
  <c r="V139" i="4"/>
  <c r="V138" i="4"/>
  <c r="V136" i="4"/>
  <c r="V135" i="4"/>
  <c r="V131" i="4"/>
  <c r="V129" i="4"/>
  <c r="V128" i="4"/>
  <c r="V127" i="4"/>
  <c r="V125" i="4"/>
  <c r="V124" i="4"/>
  <c r="V123" i="4"/>
  <c r="V120" i="4"/>
  <c r="V116" i="4"/>
  <c r="V112" i="4"/>
  <c r="V111" i="4"/>
  <c r="V109" i="4"/>
  <c r="V108" i="4"/>
  <c r="V105" i="4"/>
  <c r="V104" i="4"/>
  <c r="V103" i="4"/>
  <c r="V102" i="4"/>
  <c r="V99" i="4"/>
  <c r="V98" i="4"/>
  <c r="V97" i="4"/>
  <c r="V93" i="4"/>
  <c r="V91" i="4"/>
  <c r="V89" i="4"/>
  <c r="V87" i="4"/>
  <c r="V83" i="4"/>
  <c r="V82" i="4"/>
  <c r="V81" i="4"/>
  <c r="V80" i="4"/>
  <c r="V79" i="4"/>
  <c r="V76" i="4"/>
  <c r="V73" i="4"/>
  <c r="V69" i="4"/>
  <c r="V68" i="4"/>
  <c r="V61" i="4"/>
  <c r="V60" i="4"/>
  <c r="V58" i="4"/>
  <c r="V57" i="4"/>
  <c r="V55" i="4"/>
  <c r="V51" i="4"/>
  <c r="V50" i="4"/>
  <c r="V49" i="4"/>
  <c r="V48" i="4"/>
  <c r="V47" i="4"/>
  <c r="V46" i="4"/>
  <c r="V43" i="4"/>
  <c r="V42" i="4"/>
  <c r="V41" i="4"/>
  <c r="V40" i="4"/>
  <c r="V39" i="4"/>
  <c r="V37" i="4"/>
  <c r="V36" i="4"/>
  <c r="V35" i="4"/>
  <c r="V34" i="4"/>
  <c r="V33" i="4"/>
  <c r="V32" i="4"/>
  <c r="V31" i="4"/>
  <c r="V29" i="4"/>
  <c r="V28" i="4"/>
  <c r="V25" i="4"/>
  <c r="V19" i="4"/>
  <c r="V18" i="4"/>
  <c r="V17" i="4"/>
  <c r="V16" i="4"/>
  <c r="V15" i="4"/>
  <c r="V13" i="4"/>
  <c r="V12" i="4"/>
  <c r="T11" i="4"/>
  <c r="C13" i="7"/>
  <c r="V10" i="4"/>
  <c r="V8" i="4"/>
  <c r="V7" i="4"/>
  <c r="V6" i="4"/>
  <c r="T5" i="4"/>
  <c r="L2" i="4"/>
  <c r="T181" i="4"/>
  <c r="T214" i="4"/>
  <c r="T211" i="4"/>
  <c r="T209" i="4"/>
  <c r="T206" i="4"/>
  <c r="T204" i="4"/>
  <c r="T203" i="4"/>
  <c r="T201" i="4"/>
  <c r="T200" i="4"/>
  <c r="T199" i="4"/>
  <c r="T193" i="4"/>
  <c r="T190" i="4"/>
  <c r="T188" i="4"/>
  <c r="T186" i="4"/>
  <c r="T185" i="4"/>
  <c r="T178" i="4"/>
  <c r="T177" i="4"/>
  <c r="T174" i="4"/>
  <c r="T166" i="4"/>
  <c r="T164" i="4"/>
  <c r="T159" i="4"/>
  <c r="T114" i="4"/>
  <c r="T110" i="4"/>
  <c r="T106" i="4"/>
  <c r="T96" i="4"/>
  <c r="T77" i="4"/>
  <c r="T75" i="4"/>
  <c r="T74" i="4"/>
  <c r="T59" i="4"/>
  <c r="T144" i="4"/>
  <c r="T137" i="4"/>
  <c r="T134" i="4"/>
  <c r="T133" i="4"/>
  <c r="T132" i="4"/>
  <c r="T130" i="4"/>
  <c r="T126" i="4"/>
  <c r="T122" i="4"/>
  <c r="T121" i="4"/>
  <c r="T119" i="4"/>
  <c r="T118" i="4"/>
  <c r="T117" i="4"/>
  <c r="T115" i="4"/>
  <c r="T113" i="4"/>
  <c r="T101" i="4"/>
  <c r="T100" i="4"/>
  <c r="T92" i="4"/>
  <c r="T90" i="4"/>
  <c r="T84" i="4"/>
  <c r="T78" i="4"/>
  <c r="T52" i="4"/>
  <c r="T9" i="4"/>
  <c r="T95" i="4"/>
  <c r="T88" i="4"/>
  <c r="T86" i="4"/>
  <c r="T94" i="4"/>
  <c r="T85" i="4"/>
  <c r="T56" i="4"/>
  <c r="T72" i="4"/>
  <c r="T71" i="4"/>
  <c r="T70" i="4"/>
  <c r="T67" i="4"/>
  <c r="T66" i="4"/>
  <c r="T65" i="4"/>
  <c r="T64" i="4"/>
  <c r="T63" i="4"/>
  <c r="T62" i="4"/>
  <c r="T53" i="4"/>
  <c r="T45" i="4"/>
  <c r="T44" i="4"/>
  <c r="T38" i="4"/>
  <c r="T30" i="4"/>
  <c r="T27" i="4"/>
  <c r="T26" i="4"/>
  <c r="T24" i="4"/>
  <c r="T23" i="4"/>
  <c r="T22" i="4"/>
  <c r="T20" i="4"/>
  <c r="E220" i="5" l="1"/>
  <c r="E220" i="6"/>
  <c r="F220" i="6" s="1"/>
  <c r="E219" i="5"/>
  <c r="E219" i="6"/>
  <c r="F219" i="6" s="1"/>
  <c r="E218" i="5"/>
  <c r="E218" i="6"/>
  <c r="F218" i="6" s="1"/>
  <c r="E217" i="5"/>
  <c r="E217" i="6"/>
  <c r="F217" i="6" s="1"/>
  <c r="E216" i="5"/>
  <c r="E216" i="6"/>
  <c r="F216" i="6" s="1"/>
  <c r="E215" i="5"/>
  <c r="E215" i="6"/>
  <c r="F215" i="6" s="1"/>
  <c r="E213" i="5"/>
  <c r="E213" i="6"/>
  <c r="F213" i="6" s="1"/>
  <c r="E212" i="5"/>
  <c r="E212" i="6"/>
  <c r="F212" i="6" s="1"/>
  <c r="E210" i="5"/>
  <c r="E210" i="6"/>
  <c r="F210" i="6" s="1"/>
  <c r="E208" i="5"/>
  <c r="E208" i="6"/>
  <c r="F208" i="6" s="1"/>
  <c r="E207" i="5"/>
  <c r="E207" i="6"/>
  <c r="F207" i="6" s="1"/>
  <c r="E205" i="5"/>
  <c r="E205" i="6"/>
  <c r="F205" i="6" s="1"/>
  <c r="E202" i="5"/>
  <c r="E202" i="6"/>
  <c r="F202" i="6" s="1"/>
  <c r="E198" i="5"/>
  <c r="E198" i="6"/>
  <c r="F198" i="6" s="1"/>
  <c r="E197" i="5"/>
  <c r="E197" i="6"/>
  <c r="F197" i="6" s="1"/>
  <c r="E196" i="5"/>
  <c r="E196" i="6"/>
  <c r="F196" i="6" s="1"/>
  <c r="E195" i="5"/>
  <c r="E195" i="6"/>
  <c r="F195" i="6" s="1"/>
  <c r="E194" i="5"/>
  <c r="E194" i="6"/>
  <c r="F194" i="6" s="1"/>
  <c r="E192" i="5"/>
  <c r="E192" i="6"/>
  <c r="F192" i="6" s="1"/>
  <c r="E191" i="5"/>
  <c r="E191" i="6"/>
  <c r="F191" i="6" s="1"/>
  <c r="E189" i="5"/>
  <c r="E189" i="6"/>
  <c r="F189" i="6" s="1"/>
  <c r="E187" i="5"/>
  <c r="E187" i="6"/>
  <c r="F187" i="6" s="1"/>
  <c r="E184" i="5"/>
  <c r="E184" i="6"/>
  <c r="F184" i="6" s="1"/>
  <c r="E183" i="5"/>
  <c r="E183" i="6"/>
  <c r="F183" i="6" s="1"/>
  <c r="E182" i="5"/>
  <c r="E182" i="6"/>
  <c r="F182" i="6" s="1"/>
  <c r="E180" i="5"/>
  <c r="E180" i="6"/>
  <c r="F180" i="6" s="1"/>
  <c r="E179" i="6"/>
  <c r="F179" i="6" s="1"/>
  <c r="E179" i="5"/>
  <c r="E176" i="5"/>
  <c r="E176" i="6"/>
  <c r="F176" i="6" s="1"/>
  <c r="E175" i="5"/>
  <c r="E175" i="6"/>
  <c r="F175" i="6" s="1"/>
  <c r="E173" i="6"/>
  <c r="F173" i="6" s="1"/>
  <c r="E173" i="5"/>
  <c r="E172" i="5"/>
  <c r="E172" i="6"/>
  <c r="F172" i="6" s="1"/>
  <c r="E171" i="6"/>
  <c r="F171" i="6" s="1"/>
  <c r="E171" i="5"/>
  <c r="E170" i="6"/>
  <c r="F170" i="6" s="1"/>
  <c r="E170" i="5"/>
  <c r="E169" i="5"/>
  <c r="E169" i="6"/>
  <c r="F169" i="6" s="1"/>
  <c r="E168" i="5"/>
  <c r="E168" i="6"/>
  <c r="F168" i="6" s="1"/>
  <c r="E167" i="5"/>
  <c r="E167" i="6"/>
  <c r="F167" i="6" s="1"/>
  <c r="E165" i="5"/>
  <c r="E165" i="6"/>
  <c r="F165" i="6" s="1"/>
  <c r="E163" i="5"/>
  <c r="E163" i="6"/>
  <c r="F163" i="6" s="1"/>
  <c r="E162" i="5"/>
  <c r="E162" i="6"/>
  <c r="F162" i="6" s="1"/>
  <c r="E161" i="5"/>
  <c r="E161" i="6"/>
  <c r="F161" i="6" s="1"/>
  <c r="E160" i="5"/>
  <c r="E160" i="6"/>
  <c r="F160" i="6" s="1"/>
  <c r="E158" i="5"/>
  <c r="E158" i="6"/>
  <c r="F158" i="6" s="1"/>
  <c r="E157" i="5"/>
  <c r="E157" i="6"/>
  <c r="F157" i="6" s="1"/>
  <c r="E156" i="5"/>
  <c r="E156" i="6"/>
  <c r="F156" i="6" s="1"/>
  <c r="E155" i="5"/>
  <c r="E155" i="6"/>
  <c r="F155" i="6" s="1"/>
  <c r="E154" i="5"/>
  <c r="E154" i="6"/>
  <c r="F154" i="6" s="1"/>
  <c r="E153" i="5"/>
  <c r="E153" i="6"/>
  <c r="F153" i="6" s="1"/>
  <c r="E152" i="5"/>
  <c r="E152" i="6"/>
  <c r="F152" i="6" s="1"/>
  <c r="E151" i="5"/>
  <c r="E151" i="6"/>
  <c r="F151" i="6" s="1"/>
  <c r="E150" i="5"/>
  <c r="E150" i="6"/>
  <c r="F150" i="6" s="1"/>
  <c r="E149" i="5"/>
  <c r="E149" i="6"/>
  <c r="F149" i="6" s="1"/>
  <c r="E148" i="5"/>
  <c r="E148" i="6"/>
  <c r="F148" i="6" s="1"/>
  <c r="E147" i="5"/>
  <c r="E147" i="6"/>
  <c r="F147" i="6" s="1"/>
  <c r="E146" i="5"/>
  <c r="E146" i="6"/>
  <c r="F146" i="6" s="1"/>
  <c r="E145" i="5"/>
  <c r="E145" i="6"/>
  <c r="F145" i="6" s="1"/>
  <c r="E143" i="5"/>
  <c r="E143" i="6"/>
  <c r="F143" i="6" s="1"/>
  <c r="E142" i="5"/>
  <c r="E142" i="6"/>
  <c r="F142" i="6" s="1"/>
  <c r="E141" i="5"/>
  <c r="E141" i="6"/>
  <c r="F141" i="6" s="1"/>
  <c r="E140" i="5"/>
  <c r="E140" i="6"/>
  <c r="F140" i="6" s="1"/>
  <c r="E139" i="5"/>
  <c r="E139" i="6"/>
  <c r="F139" i="6" s="1"/>
  <c r="E138" i="5"/>
  <c r="E138" i="6"/>
  <c r="F138" i="6" s="1"/>
  <c r="E136" i="5"/>
  <c r="E136" i="6"/>
  <c r="F136" i="6" s="1"/>
  <c r="E135" i="5"/>
  <c r="E135" i="6"/>
  <c r="F135" i="6" s="1"/>
  <c r="E131" i="5"/>
  <c r="E131" i="6"/>
  <c r="F131" i="6" s="1"/>
  <c r="E129" i="5"/>
  <c r="E129" i="6"/>
  <c r="F129" i="6" s="1"/>
  <c r="E128" i="5"/>
  <c r="E128" i="6"/>
  <c r="F128" i="6" s="1"/>
  <c r="E127" i="5"/>
  <c r="E127" i="6"/>
  <c r="F127" i="6" s="1"/>
  <c r="E125" i="5"/>
  <c r="E125" i="6"/>
  <c r="F125" i="6" s="1"/>
  <c r="E124" i="5"/>
  <c r="E124" i="6"/>
  <c r="F124" i="6" s="1"/>
  <c r="E123" i="5"/>
  <c r="E123" i="6"/>
  <c r="F123" i="6" s="1"/>
  <c r="E120" i="5"/>
  <c r="E120" i="6"/>
  <c r="F120" i="6" s="1"/>
  <c r="E116" i="5"/>
  <c r="E116" i="6"/>
  <c r="F116" i="6" s="1"/>
  <c r="E112" i="5"/>
  <c r="E112" i="6"/>
  <c r="F112" i="6" s="1"/>
  <c r="E111" i="6"/>
  <c r="F111" i="6" s="1"/>
  <c r="E111" i="5"/>
  <c r="E109" i="6"/>
  <c r="F109" i="6" s="1"/>
  <c r="E109" i="5"/>
  <c r="E108" i="5"/>
  <c r="E108" i="6"/>
  <c r="F108" i="6" s="1"/>
  <c r="E107" i="5"/>
  <c r="E107" i="6"/>
  <c r="F107" i="6" s="1"/>
  <c r="E105" i="6"/>
  <c r="F105" i="6" s="1"/>
  <c r="E105" i="5"/>
  <c r="E104" i="5"/>
  <c r="E104" i="6"/>
  <c r="F104" i="6" s="1"/>
  <c r="E103" i="5"/>
  <c r="E103" i="6"/>
  <c r="F103" i="6" s="1"/>
  <c r="E102" i="5"/>
  <c r="E102" i="6"/>
  <c r="F102" i="6" s="1"/>
  <c r="E99" i="5"/>
  <c r="E99" i="6"/>
  <c r="F99" i="6" s="1"/>
  <c r="E98" i="5"/>
  <c r="E98" i="6"/>
  <c r="F98" i="6" s="1"/>
  <c r="E97" i="5"/>
  <c r="E97" i="6"/>
  <c r="F97" i="6" s="1"/>
  <c r="E93" i="5"/>
  <c r="E93" i="6"/>
  <c r="F93" i="6" s="1"/>
  <c r="E91" i="6"/>
  <c r="F91" i="6" s="1"/>
  <c r="E91" i="5"/>
  <c r="E89" i="6"/>
  <c r="F89" i="6" s="1"/>
  <c r="E89" i="5"/>
  <c r="E87" i="5"/>
  <c r="E87" i="6"/>
  <c r="F87" i="6" s="1"/>
  <c r="E83" i="5"/>
  <c r="E83" i="6"/>
  <c r="F83" i="6" s="1"/>
  <c r="E82" i="5"/>
  <c r="E82" i="6"/>
  <c r="F82" i="6" s="1"/>
  <c r="E81" i="5"/>
  <c r="E81" i="6"/>
  <c r="F81" i="6" s="1"/>
  <c r="E80" i="5"/>
  <c r="E80" i="6"/>
  <c r="F80" i="6" s="1"/>
  <c r="E79" i="5"/>
  <c r="E79" i="6"/>
  <c r="F79" i="6" s="1"/>
  <c r="E76" i="5"/>
  <c r="E76" i="6"/>
  <c r="F76" i="6" s="1"/>
  <c r="E73" i="5"/>
  <c r="E73" i="6"/>
  <c r="F73" i="6" s="1"/>
  <c r="E69" i="5"/>
  <c r="E69" i="6"/>
  <c r="F69" i="6" s="1"/>
  <c r="E68" i="5"/>
  <c r="E68" i="6"/>
  <c r="F68" i="6" s="1"/>
  <c r="E61" i="5"/>
  <c r="E61" i="6"/>
  <c r="F61" i="6" s="1"/>
  <c r="E60" i="5"/>
  <c r="E60" i="6"/>
  <c r="F60" i="6" s="1"/>
  <c r="E58" i="5"/>
  <c r="E58" i="6"/>
  <c r="F58" i="6" s="1"/>
  <c r="E57" i="5"/>
  <c r="E57" i="6"/>
  <c r="F57" i="6" s="1"/>
  <c r="E55" i="6"/>
  <c r="F55" i="6" s="1"/>
  <c r="E55" i="5"/>
  <c r="E54" i="5"/>
  <c r="E54" i="6"/>
  <c r="F54" i="6" s="1"/>
  <c r="E51" i="5"/>
  <c r="E51" i="6"/>
  <c r="F51" i="6" s="1"/>
  <c r="E50" i="5"/>
  <c r="E50" i="6"/>
  <c r="F50" i="6" s="1"/>
  <c r="E49" i="5"/>
  <c r="E49" i="6"/>
  <c r="F49" i="6" s="1"/>
  <c r="E48" i="5"/>
  <c r="E48" i="6"/>
  <c r="F48" i="6" s="1"/>
  <c r="E47" i="5"/>
  <c r="E47" i="6"/>
  <c r="F47" i="6" s="1"/>
  <c r="E46" i="5"/>
  <c r="E46" i="6"/>
  <c r="F46" i="6" s="1"/>
  <c r="E43" i="5"/>
  <c r="E43" i="6"/>
  <c r="F43" i="6" s="1"/>
  <c r="E42" i="5"/>
  <c r="E42" i="6"/>
  <c r="F42" i="6" s="1"/>
  <c r="E41" i="5"/>
  <c r="E41" i="6"/>
  <c r="F41" i="6" s="1"/>
  <c r="E40" i="5"/>
  <c r="E40" i="6"/>
  <c r="F40" i="6" s="1"/>
  <c r="E39" i="5"/>
  <c r="E39" i="6"/>
  <c r="F39" i="6" s="1"/>
  <c r="E37" i="5"/>
  <c r="E37" i="6"/>
  <c r="F37" i="6" s="1"/>
  <c r="E36" i="5"/>
  <c r="E36" i="6"/>
  <c r="F36" i="6" s="1"/>
  <c r="E35" i="5"/>
  <c r="E35" i="6"/>
  <c r="F35" i="6" s="1"/>
  <c r="E34" i="5"/>
  <c r="E34" i="6"/>
  <c r="F34" i="6" s="1"/>
  <c r="E33" i="5"/>
  <c r="E33" i="6"/>
  <c r="F33" i="6" s="1"/>
  <c r="E32" i="5"/>
  <c r="E32" i="6"/>
  <c r="F32" i="6" s="1"/>
  <c r="E31" i="5"/>
  <c r="E31" i="6"/>
  <c r="F31" i="6" s="1"/>
  <c r="E29" i="5"/>
  <c r="E29" i="6"/>
  <c r="F29" i="6" s="1"/>
  <c r="E28" i="5"/>
  <c r="E28" i="6"/>
  <c r="F28" i="6" s="1"/>
  <c r="E25" i="5"/>
  <c r="E25" i="6"/>
  <c r="F25" i="6" s="1"/>
  <c r="E21" i="5"/>
  <c r="E21" i="6"/>
  <c r="F21" i="6" s="1"/>
  <c r="E19" i="5"/>
  <c r="E19" i="6"/>
  <c r="F19" i="6" s="1"/>
  <c r="E18" i="5"/>
  <c r="E18" i="6"/>
  <c r="F18" i="6" s="1"/>
  <c r="E17" i="5"/>
  <c r="E17" i="6"/>
  <c r="F17" i="6" s="1"/>
  <c r="E16" i="5"/>
  <c r="E16" i="6"/>
  <c r="F16" i="6" s="1"/>
  <c r="E15" i="5"/>
  <c r="E15" i="6"/>
  <c r="F15" i="6" s="1"/>
  <c r="E14" i="5"/>
  <c r="E14" i="6"/>
  <c r="F14" i="6" s="1"/>
  <c r="E13" i="5"/>
  <c r="E13" i="6"/>
  <c r="F13" i="6" s="1"/>
  <c r="E12" i="5"/>
  <c r="E12" i="6"/>
  <c r="F12" i="6" s="1"/>
  <c r="V11" i="4"/>
  <c r="C21" i="7"/>
  <c r="E10" i="5"/>
  <c r="E10" i="6"/>
  <c r="F10" i="6" s="1"/>
  <c r="E8" i="5"/>
  <c r="E8" i="6"/>
  <c r="F8" i="6" s="1"/>
  <c r="E7" i="5"/>
  <c r="E7" i="6"/>
  <c r="F7" i="6" s="1"/>
  <c r="E6" i="5"/>
  <c r="E6" i="6"/>
  <c r="F6" i="6" s="1"/>
  <c r="V5" i="4"/>
  <c r="T2" i="4"/>
  <c r="V181" i="4"/>
  <c r="V214" i="4"/>
  <c r="V211" i="4"/>
  <c r="V209" i="4"/>
  <c r="V206" i="4"/>
  <c r="V204" i="4"/>
  <c r="V203" i="4"/>
  <c r="V201" i="4"/>
  <c r="V200" i="4"/>
  <c r="V199" i="4"/>
  <c r="V193" i="4"/>
  <c r="V190" i="4"/>
  <c r="V188" i="4"/>
  <c r="V186" i="4"/>
  <c r="V185" i="4"/>
  <c r="V178" i="4"/>
  <c r="V177" i="4"/>
  <c r="V174" i="4"/>
  <c r="V166" i="4"/>
  <c r="V164" i="4"/>
  <c r="V159" i="4"/>
  <c r="V114" i="4"/>
  <c r="V110" i="4"/>
  <c r="V106" i="4"/>
  <c r="V96" i="4"/>
  <c r="V77" i="4"/>
  <c r="V75" i="4"/>
  <c r="V74" i="4"/>
  <c r="V59" i="4"/>
  <c r="V144" i="4"/>
  <c r="V137" i="4"/>
  <c r="V134" i="4"/>
  <c r="V133" i="4"/>
  <c r="V132" i="4"/>
  <c r="V130" i="4"/>
  <c r="V126" i="4"/>
  <c r="V122" i="4"/>
  <c r="V121" i="4"/>
  <c r="V119" i="4"/>
  <c r="V118" i="4"/>
  <c r="V117" i="4"/>
  <c r="V115" i="4"/>
  <c r="V113" i="4"/>
  <c r="V101" i="4"/>
  <c r="V100" i="4"/>
  <c r="V92" i="4"/>
  <c r="V90" i="4"/>
  <c r="V84" i="4"/>
  <c r="V78" i="4"/>
  <c r="V52" i="4"/>
  <c r="V9" i="4"/>
  <c r="V95" i="4"/>
  <c r="V88" i="4"/>
  <c r="V86" i="4"/>
  <c r="V94" i="4"/>
  <c r="V85" i="4"/>
  <c r="V56" i="4"/>
  <c r="V72" i="4"/>
  <c r="V71" i="4"/>
  <c r="V70" i="4"/>
  <c r="V67" i="4"/>
  <c r="V66" i="4"/>
  <c r="V65" i="4"/>
  <c r="V64" i="4"/>
  <c r="V63" i="4"/>
  <c r="V62" i="4"/>
  <c r="V53" i="4"/>
  <c r="V45" i="4"/>
  <c r="V44" i="4"/>
  <c r="V38" i="4"/>
  <c r="V30" i="4"/>
  <c r="V27" i="4"/>
  <c r="V26" i="4"/>
  <c r="V24" i="4"/>
  <c r="V23" i="4"/>
  <c r="V22" i="4"/>
  <c r="V20" i="4"/>
  <c r="F220" i="5" l="1"/>
  <c r="H220" i="5"/>
  <c r="L220" i="5"/>
  <c r="Z220" i="4" s="1"/>
  <c r="M220" i="5"/>
  <c r="N220" i="5"/>
  <c r="K220" i="6"/>
  <c r="G220" i="6"/>
  <c r="H220" i="6"/>
  <c r="L219" i="5"/>
  <c r="Z219" i="4" s="1"/>
  <c r="N219" i="5"/>
  <c r="F219" i="5"/>
  <c r="H219" i="5"/>
  <c r="M219" i="5"/>
  <c r="K219" i="6"/>
  <c r="G219" i="6"/>
  <c r="H219" i="6"/>
  <c r="F218" i="5"/>
  <c r="H218" i="5"/>
  <c r="L218" i="5"/>
  <c r="Z218" i="4" s="1"/>
  <c r="N218" i="5"/>
  <c r="M218" i="5"/>
  <c r="K218" i="6"/>
  <c r="G218" i="6"/>
  <c r="H218" i="6" s="1"/>
  <c r="F217" i="5"/>
  <c r="H217" i="5"/>
  <c r="M217" i="5"/>
  <c r="N217" i="5"/>
  <c r="L217" i="5"/>
  <c r="Z217" i="4" s="1"/>
  <c r="K217" i="6"/>
  <c r="G217" i="6"/>
  <c r="H217" i="6"/>
  <c r="H216" i="5"/>
  <c r="M216" i="5"/>
  <c r="N216" i="5"/>
  <c r="F216" i="5"/>
  <c r="L216" i="5"/>
  <c r="Z216" i="4" s="1"/>
  <c r="K216" i="6"/>
  <c r="G216" i="6"/>
  <c r="H216" i="6" s="1"/>
  <c r="L215" i="5"/>
  <c r="Z215" i="4" s="1"/>
  <c r="F215" i="5"/>
  <c r="H215" i="5"/>
  <c r="M215" i="5"/>
  <c r="N215" i="5"/>
  <c r="K215" i="6"/>
  <c r="G215" i="6"/>
  <c r="H215" i="6" s="1"/>
  <c r="F213" i="5"/>
  <c r="H213" i="5"/>
  <c r="L213" i="5"/>
  <c r="Z213" i="4" s="1"/>
  <c r="M213" i="5"/>
  <c r="N213" i="5"/>
  <c r="K213" i="6"/>
  <c r="G213" i="6"/>
  <c r="H213" i="6" s="1"/>
  <c r="L212" i="5"/>
  <c r="Z212" i="4" s="1"/>
  <c r="M212" i="5"/>
  <c r="F212" i="5"/>
  <c r="H212" i="5"/>
  <c r="N212" i="5"/>
  <c r="K212" i="6"/>
  <c r="G212" i="6"/>
  <c r="H212" i="6" s="1"/>
  <c r="M210" i="5"/>
  <c r="F210" i="5"/>
  <c r="H210" i="5"/>
  <c r="L210" i="5"/>
  <c r="Z210" i="4" s="1"/>
  <c r="N210" i="5"/>
  <c r="K210" i="6"/>
  <c r="G210" i="6"/>
  <c r="H210" i="6" s="1"/>
  <c r="N208" i="5"/>
  <c r="H208" i="5"/>
  <c r="L208" i="5"/>
  <c r="Z208" i="4" s="1"/>
  <c r="F208" i="5"/>
  <c r="M208" i="5"/>
  <c r="K208" i="6"/>
  <c r="G208" i="6"/>
  <c r="H208" i="6" s="1"/>
  <c r="F207" i="5"/>
  <c r="H207" i="5"/>
  <c r="L207" i="5"/>
  <c r="Z207" i="4" s="1"/>
  <c r="N207" i="5"/>
  <c r="M207" i="5"/>
  <c r="K207" i="6"/>
  <c r="G207" i="6"/>
  <c r="H207" i="6" s="1"/>
  <c r="H205" i="5"/>
  <c r="L205" i="5"/>
  <c r="Z205" i="4" s="1"/>
  <c r="F205" i="5"/>
  <c r="M205" i="5"/>
  <c r="N205" i="5"/>
  <c r="K205" i="6"/>
  <c r="G205" i="6"/>
  <c r="H205" i="6" s="1"/>
  <c r="N202" i="5"/>
  <c r="F202" i="5"/>
  <c r="H202" i="5"/>
  <c r="L202" i="5"/>
  <c r="Z202" i="4" s="1"/>
  <c r="M202" i="5"/>
  <c r="K202" i="6"/>
  <c r="G202" i="6"/>
  <c r="H202" i="6" s="1"/>
  <c r="H198" i="5"/>
  <c r="M198" i="5"/>
  <c r="F198" i="5"/>
  <c r="L198" i="5"/>
  <c r="Z198" i="4" s="1"/>
  <c r="N198" i="5"/>
  <c r="K198" i="6"/>
  <c r="G198" i="6"/>
  <c r="H198" i="6" s="1"/>
  <c r="H197" i="5"/>
  <c r="L197" i="5"/>
  <c r="Z197" i="4" s="1"/>
  <c r="M197" i="5"/>
  <c r="N197" i="5"/>
  <c r="F197" i="5"/>
  <c r="K197" i="6"/>
  <c r="G197" i="6"/>
  <c r="H197" i="6"/>
  <c r="L196" i="5"/>
  <c r="Z196" i="4" s="1"/>
  <c r="N196" i="5"/>
  <c r="F196" i="5"/>
  <c r="H196" i="5"/>
  <c r="M196" i="5"/>
  <c r="K196" i="6"/>
  <c r="G196" i="6"/>
  <c r="H196" i="6" s="1"/>
  <c r="H195" i="5"/>
  <c r="F195" i="5"/>
  <c r="L195" i="5"/>
  <c r="Z195" i="4" s="1"/>
  <c r="M195" i="5"/>
  <c r="N195" i="5"/>
  <c r="K195" i="6"/>
  <c r="G195" i="6"/>
  <c r="H195" i="6" s="1"/>
  <c r="L194" i="5"/>
  <c r="Z194" i="4" s="1"/>
  <c r="F194" i="5"/>
  <c r="H194" i="5"/>
  <c r="M194" i="5"/>
  <c r="N194" i="5"/>
  <c r="K194" i="6"/>
  <c r="G194" i="6"/>
  <c r="H194" i="6" s="1"/>
  <c r="H192" i="5"/>
  <c r="F192" i="5"/>
  <c r="L192" i="5"/>
  <c r="Z192" i="4" s="1"/>
  <c r="M192" i="5"/>
  <c r="N192" i="5"/>
  <c r="K192" i="6"/>
  <c r="G192" i="6"/>
  <c r="H192" i="6" s="1"/>
  <c r="F191" i="5"/>
  <c r="M191" i="5"/>
  <c r="N191" i="5"/>
  <c r="H191" i="5"/>
  <c r="L191" i="5"/>
  <c r="Z191" i="4" s="1"/>
  <c r="K191" i="6"/>
  <c r="G191" i="6"/>
  <c r="H191" i="6" s="1"/>
  <c r="L189" i="5"/>
  <c r="Z189" i="4" s="1"/>
  <c r="F189" i="5"/>
  <c r="H189" i="5"/>
  <c r="M189" i="5"/>
  <c r="N189" i="5"/>
  <c r="K189" i="6"/>
  <c r="G189" i="6"/>
  <c r="H189" i="6" s="1"/>
  <c r="H187" i="5"/>
  <c r="L187" i="5"/>
  <c r="Z187" i="4" s="1"/>
  <c r="M187" i="5"/>
  <c r="F187" i="5"/>
  <c r="N187" i="5"/>
  <c r="K187" i="6"/>
  <c r="G187" i="6"/>
  <c r="H187" i="6" s="1"/>
  <c r="M184" i="5"/>
  <c r="F184" i="5"/>
  <c r="H184" i="5"/>
  <c r="L184" i="5"/>
  <c r="Z184" i="4" s="1"/>
  <c r="N184" i="5"/>
  <c r="K184" i="6"/>
  <c r="G184" i="6"/>
  <c r="H184" i="6" s="1"/>
  <c r="H183" i="5"/>
  <c r="M183" i="5"/>
  <c r="L183" i="5"/>
  <c r="Z183" i="4" s="1"/>
  <c r="F183" i="5"/>
  <c r="N183" i="5"/>
  <c r="K183" i="6"/>
  <c r="G183" i="6"/>
  <c r="H183" i="6" s="1"/>
  <c r="L182" i="5"/>
  <c r="Z182" i="4" s="1"/>
  <c r="N182" i="5"/>
  <c r="F182" i="5"/>
  <c r="H182" i="5"/>
  <c r="M182" i="5"/>
  <c r="K182" i="6"/>
  <c r="G182" i="6"/>
  <c r="H182" i="6" s="1"/>
  <c r="N180" i="5"/>
  <c r="F180" i="5"/>
  <c r="H180" i="5"/>
  <c r="L180" i="5"/>
  <c r="Z180" i="4" s="1"/>
  <c r="M180" i="5"/>
  <c r="K180" i="6"/>
  <c r="G180" i="6"/>
  <c r="H180" i="6" s="1"/>
  <c r="K179" i="6"/>
  <c r="G179" i="6"/>
  <c r="H179" i="6" s="1"/>
  <c r="L179" i="5"/>
  <c r="Z179" i="4" s="1"/>
  <c r="M179" i="5"/>
  <c r="N179" i="5"/>
  <c r="H179" i="5"/>
  <c r="F179" i="5"/>
  <c r="L176" i="5"/>
  <c r="Z176" i="4" s="1"/>
  <c r="F176" i="5"/>
  <c r="H176" i="5"/>
  <c r="N176" i="5"/>
  <c r="M176" i="5"/>
  <c r="K176" i="6"/>
  <c r="G176" i="6"/>
  <c r="H176" i="6"/>
  <c r="H175" i="5"/>
  <c r="M175" i="5"/>
  <c r="F175" i="5"/>
  <c r="L175" i="5"/>
  <c r="Z175" i="4" s="1"/>
  <c r="N175" i="5"/>
  <c r="K175" i="6"/>
  <c r="G175" i="6"/>
  <c r="H175" i="6"/>
  <c r="K173" i="6"/>
  <c r="G173" i="6"/>
  <c r="H173" i="6"/>
  <c r="H173" i="5"/>
  <c r="L173" i="5"/>
  <c r="Z173" i="4" s="1"/>
  <c r="N173" i="5"/>
  <c r="F173" i="5"/>
  <c r="M173" i="5"/>
  <c r="H172" i="5"/>
  <c r="M172" i="5"/>
  <c r="L172" i="5"/>
  <c r="Z172" i="4" s="1"/>
  <c r="F172" i="5"/>
  <c r="N172" i="5"/>
  <c r="K172" i="6"/>
  <c r="G172" i="6"/>
  <c r="H172" i="6" s="1"/>
  <c r="K171" i="6"/>
  <c r="G171" i="6"/>
  <c r="H171" i="6" s="1"/>
  <c r="N171" i="5"/>
  <c r="H171" i="5"/>
  <c r="M171" i="5"/>
  <c r="F171" i="5"/>
  <c r="L171" i="5"/>
  <c r="Z171" i="4" s="1"/>
  <c r="K170" i="6"/>
  <c r="G170" i="6"/>
  <c r="H170" i="6" s="1"/>
  <c r="H170" i="5"/>
  <c r="F170" i="5"/>
  <c r="L170" i="5"/>
  <c r="Z170" i="4" s="1"/>
  <c r="M170" i="5"/>
  <c r="N170" i="5"/>
  <c r="L169" i="5"/>
  <c r="Z169" i="4" s="1"/>
  <c r="N169" i="5"/>
  <c r="F169" i="5"/>
  <c r="H169" i="5"/>
  <c r="M169" i="5"/>
  <c r="K169" i="6"/>
  <c r="G169" i="6"/>
  <c r="H169" i="6" s="1"/>
  <c r="M168" i="5"/>
  <c r="F168" i="5"/>
  <c r="H168" i="5"/>
  <c r="L168" i="5"/>
  <c r="Z168" i="4" s="1"/>
  <c r="N168" i="5"/>
  <c r="G168" i="6"/>
  <c r="H168" i="6" s="1"/>
  <c r="K168" i="6"/>
  <c r="M167" i="5"/>
  <c r="H167" i="5"/>
  <c r="F167" i="5"/>
  <c r="L167" i="5"/>
  <c r="Z167" i="4" s="1"/>
  <c r="N167" i="5"/>
  <c r="K167" i="6"/>
  <c r="G167" i="6"/>
  <c r="H167" i="6" s="1"/>
  <c r="H165" i="5"/>
  <c r="F165" i="5"/>
  <c r="L165" i="5"/>
  <c r="Z165" i="4" s="1"/>
  <c r="M165" i="5"/>
  <c r="N165" i="5"/>
  <c r="K165" i="6"/>
  <c r="G165" i="6"/>
  <c r="H165" i="6" s="1"/>
  <c r="F163" i="5"/>
  <c r="H163" i="5"/>
  <c r="L163" i="5"/>
  <c r="Z163" i="4" s="1"/>
  <c r="M163" i="5"/>
  <c r="N163" i="5"/>
  <c r="K163" i="6"/>
  <c r="G163" i="6"/>
  <c r="H163" i="6" s="1"/>
  <c r="M162" i="5"/>
  <c r="N162" i="5"/>
  <c r="F162" i="5"/>
  <c r="L162" i="5"/>
  <c r="Z162" i="4" s="1"/>
  <c r="H162" i="5"/>
  <c r="K162" i="6"/>
  <c r="G162" i="6"/>
  <c r="H162" i="6" s="1"/>
  <c r="M161" i="5"/>
  <c r="F161" i="5"/>
  <c r="H161" i="5"/>
  <c r="L161" i="5"/>
  <c r="Z161" i="4" s="1"/>
  <c r="N161" i="5"/>
  <c r="K161" i="6"/>
  <c r="G161" i="6"/>
  <c r="H161" i="6" s="1"/>
  <c r="F160" i="5"/>
  <c r="H160" i="5"/>
  <c r="L160" i="5"/>
  <c r="Z160" i="4" s="1"/>
  <c r="N160" i="5"/>
  <c r="M160" i="5"/>
  <c r="K160" i="6"/>
  <c r="G160" i="6"/>
  <c r="H160" i="6"/>
  <c r="L158" i="5"/>
  <c r="Z158" i="4" s="1"/>
  <c r="N158" i="5"/>
  <c r="F158" i="5"/>
  <c r="H158" i="5"/>
  <c r="M158" i="5"/>
  <c r="K158" i="6"/>
  <c r="G158" i="6"/>
  <c r="H158" i="6"/>
  <c r="L157" i="5"/>
  <c r="Z157" i="4" s="1"/>
  <c r="F157" i="5"/>
  <c r="H157" i="5"/>
  <c r="M157" i="5"/>
  <c r="N157" i="5"/>
  <c r="K157" i="6"/>
  <c r="G157" i="6"/>
  <c r="H157" i="6"/>
  <c r="H156" i="5"/>
  <c r="N156" i="5"/>
  <c r="F156" i="5"/>
  <c r="L156" i="5"/>
  <c r="Z156" i="4" s="1"/>
  <c r="M156" i="5"/>
  <c r="K156" i="6"/>
  <c r="G156" i="6"/>
  <c r="H156" i="6"/>
  <c r="H155" i="5"/>
  <c r="L155" i="5"/>
  <c r="Z155" i="4" s="1"/>
  <c r="F155" i="5"/>
  <c r="M155" i="5"/>
  <c r="N155" i="5"/>
  <c r="K155" i="6"/>
  <c r="G155" i="6"/>
  <c r="H155" i="6"/>
  <c r="H154" i="5"/>
  <c r="M154" i="5"/>
  <c r="F154" i="5"/>
  <c r="L154" i="5"/>
  <c r="Z154" i="4" s="1"/>
  <c r="N154" i="5"/>
  <c r="K154" i="6"/>
  <c r="G154" i="6"/>
  <c r="H154" i="6"/>
  <c r="N153" i="5"/>
  <c r="L153" i="5"/>
  <c r="Z153" i="4" s="1"/>
  <c r="F153" i="5"/>
  <c r="H153" i="5"/>
  <c r="M153" i="5"/>
  <c r="K153" i="6"/>
  <c r="G153" i="6"/>
  <c r="H153" i="6"/>
  <c r="F152" i="5"/>
  <c r="H152" i="5"/>
  <c r="L152" i="5"/>
  <c r="Z152" i="4" s="1"/>
  <c r="M152" i="5"/>
  <c r="N152" i="5"/>
  <c r="K152" i="6"/>
  <c r="G152" i="6"/>
  <c r="H152" i="6"/>
  <c r="L151" i="5"/>
  <c r="Z151" i="4" s="1"/>
  <c r="M151" i="5"/>
  <c r="N151" i="5"/>
  <c r="F151" i="5"/>
  <c r="H151" i="5"/>
  <c r="K151" i="6"/>
  <c r="G151" i="6"/>
  <c r="H151" i="6"/>
  <c r="L150" i="5"/>
  <c r="Z150" i="4" s="1"/>
  <c r="H150" i="5"/>
  <c r="M150" i="5"/>
  <c r="N150" i="5"/>
  <c r="F150" i="5"/>
  <c r="K150" i="6"/>
  <c r="G150" i="6"/>
  <c r="H150" i="6"/>
  <c r="H149" i="5"/>
  <c r="M149" i="5"/>
  <c r="N149" i="5"/>
  <c r="F149" i="5"/>
  <c r="L149" i="5"/>
  <c r="Z149" i="4" s="1"/>
  <c r="K149" i="6"/>
  <c r="G149" i="6"/>
  <c r="H149" i="6"/>
  <c r="M148" i="5"/>
  <c r="N148" i="5"/>
  <c r="H148" i="5"/>
  <c r="L148" i="5"/>
  <c r="Z148" i="4" s="1"/>
  <c r="F148" i="5"/>
  <c r="K148" i="6"/>
  <c r="G148" i="6"/>
  <c r="H148" i="6"/>
  <c r="H147" i="5"/>
  <c r="M147" i="5"/>
  <c r="F147" i="5"/>
  <c r="L147" i="5"/>
  <c r="Z147" i="4" s="1"/>
  <c r="N147" i="5"/>
  <c r="K147" i="6"/>
  <c r="G147" i="6"/>
  <c r="H147" i="6"/>
  <c r="N146" i="5"/>
  <c r="H146" i="5"/>
  <c r="L146" i="5"/>
  <c r="Z146" i="4" s="1"/>
  <c r="F146" i="5"/>
  <c r="M146" i="5"/>
  <c r="K146" i="6"/>
  <c r="G146" i="6"/>
  <c r="H146" i="6"/>
  <c r="F145" i="5"/>
  <c r="H145" i="5"/>
  <c r="L145" i="5"/>
  <c r="Z145" i="4" s="1"/>
  <c r="M145" i="5"/>
  <c r="N145" i="5"/>
  <c r="K145" i="6"/>
  <c r="G145" i="6"/>
  <c r="H145" i="6"/>
  <c r="L143" i="5"/>
  <c r="Z143" i="4" s="1"/>
  <c r="M143" i="5"/>
  <c r="N143" i="5"/>
  <c r="F143" i="5"/>
  <c r="H143" i="5"/>
  <c r="K143" i="6"/>
  <c r="G143" i="6"/>
  <c r="H143" i="6"/>
  <c r="M142" i="5"/>
  <c r="F142" i="5"/>
  <c r="N142" i="5"/>
  <c r="H142" i="5"/>
  <c r="L142" i="5"/>
  <c r="Z142" i="4" s="1"/>
  <c r="K142" i="6"/>
  <c r="G142" i="6"/>
  <c r="H142" i="6"/>
  <c r="L141" i="5"/>
  <c r="Z141" i="4" s="1"/>
  <c r="N141" i="5"/>
  <c r="M141" i="5"/>
  <c r="H141" i="5"/>
  <c r="F141" i="5"/>
  <c r="K141" i="6"/>
  <c r="G141" i="6"/>
  <c r="H141" i="6"/>
  <c r="M140" i="5"/>
  <c r="N140" i="5"/>
  <c r="F140" i="5"/>
  <c r="H140" i="5"/>
  <c r="L140" i="5"/>
  <c r="Z140" i="4" s="1"/>
  <c r="K140" i="6"/>
  <c r="G140" i="6"/>
  <c r="H140" i="6" s="1"/>
  <c r="L139" i="5"/>
  <c r="Z139" i="4" s="1"/>
  <c r="M139" i="5"/>
  <c r="N139" i="5"/>
  <c r="H139" i="5"/>
  <c r="F139" i="5"/>
  <c r="K139" i="6"/>
  <c r="G139" i="6"/>
  <c r="H139" i="6" s="1"/>
  <c r="H138" i="5"/>
  <c r="L138" i="5"/>
  <c r="Z138" i="4" s="1"/>
  <c r="M138" i="5"/>
  <c r="F138" i="5"/>
  <c r="N138" i="5"/>
  <c r="K138" i="6"/>
  <c r="G138" i="6"/>
  <c r="H138" i="6" s="1"/>
  <c r="N136" i="5"/>
  <c r="H136" i="5"/>
  <c r="F136" i="5"/>
  <c r="L136" i="5"/>
  <c r="Z136" i="4" s="1"/>
  <c r="M136" i="5"/>
  <c r="K136" i="6"/>
  <c r="G136" i="6"/>
  <c r="H136" i="6" s="1"/>
  <c r="L135" i="5"/>
  <c r="Z135" i="4" s="1"/>
  <c r="F135" i="5"/>
  <c r="H135" i="5"/>
  <c r="M135" i="5"/>
  <c r="N135" i="5"/>
  <c r="K135" i="6"/>
  <c r="G135" i="6"/>
  <c r="H135" i="6" s="1"/>
  <c r="H131" i="5"/>
  <c r="L131" i="5"/>
  <c r="Z131" i="4" s="1"/>
  <c r="N131" i="5"/>
  <c r="F131" i="5"/>
  <c r="M131" i="5"/>
  <c r="K131" i="6"/>
  <c r="G131" i="6"/>
  <c r="H131" i="6" s="1"/>
  <c r="L129" i="5"/>
  <c r="Z129" i="4" s="1"/>
  <c r="N129" i="5"/>
  <c r="F129" i="5"/>
  <c r="M129" i="5"/>
  <c r="H129" i="5"/>
  <c r="K129" i="6"/>
  <c r="G129" i="6"/>
  <c r="H129" i="6" s="1"/>
  <c r="H128" i="5"/>
  <c r="F128" i="5"/>
  <c r="M128" i="5"/>
  <c r="L128" i="5"/>
  <c r="Z128" i="4" s="1"/>
  <c r="N128" i="5"/>
  <c r="K128" i="6"/>
  <c r="G128" i="6"/>
  <c r="H128" i="6" s="1"/>
  <c r="N127" i="5"/>
  <c r="L127" i="5"/>
  <c r="Z127" i="4" s="1"/>
  <c r="F127" i="5"/>
  <c r="M127" i="5"/>
  <c r="H127" i="5"/>
  <c r="K127" i="6"/>
  <c r="G127" i="6"/>
  <c r="H127" i="6" s="1"/>
  <c r="H125" i="5"/>
  <c r="L125" i="5"/>
  <c r="Z125" i="4" s="1"/>
  <c r="M125" i="5"/>
  <c r="F125" i="5"/>
  <c r="N125" i="5"/>
  <c r="K125" i="6"/>
  <c r="G125" i="6"/>
  <c r="H125" i="6" s="1"/>
  <c r="M124" i="5"/>
  <c r="F124" i="5"/>
  <c r="L124" i="5"/>
  <c r="Z124" i="4" s="1"/>
  <c r="H124" i="5"/>
  <c r="N124" i="5"/>
  <c r="K124" i="6"/>
  <c r="G124" i="6"/>
  <c r="H124" i="6" s="1"/>
  <c r="H123" i="5"/>
  <c r="L123" i="5"/>
  <c r="Z123" i="4" s="1"/>
  <c r="F123" i="5"/>
  <c r="N123" i="5"/>
  <c r="M123" i="5"/>
  <c r="K123" i="6"/>
  <c r="G123" i="6"/>
  <c r="H123" i="6" s="1"/>
  <c r="N120" i="5"/>
  <c r="F120" i="5"/>
  <c r="H120" i="5"/>
  <c r="M120" i="5"/>
  <c r="L120" i="5"/>
  <c r="Z120" i="4" s="1"/>
  <c r="K120" i="6"/>
  <c r="G120" i="6"/>
  <c r="H120" i="6" s="1"/>
  <c r="L116" i="5"/>
  <c r="Z116" i="4" s="1"/>
  <c r="N116" i="5"/>
  <c r="H116" i="5"/>
  <c r="M116" i="5"/>
  <c r="F116" i="5"/>
  <c r="K116" i="6"/>
  <c r="G116" i="6"/>
  <c r="H116" i="6" s="1"/>
  <c r="N112" i="5"/>
  <c r="L112" i="5"/>
  <c r="Z112" i="4" s="1"/>
  <c r="F112" i="5"/>
  <c r="H112" i="5"/>
  <c r="M112" i="5"/>
  <c r="K112" i="6"/>
  <c r="G112" i="6"/>
  <c r="H112" i="6" s="1"/>
  <c r="K111" i="6"/>
  <c r="G111" i="6"/>
  <c r="H111" i="6" s="1"/>
  <c r="H111" i="5"/>
  <c r="M111" i="5"/>
  <c r="F111" i="5"/>
  <c r="N111" i="5"/>
  <c r="L111" i="5"/>
  <c r="Z111" i="4" s="1"/>
  <c r="K109" i="6"/>
  <c r="G109" i="6"/>
  <c r="H109" i="6" s="1"/>
  <c r="M109" i="5"/>
  <c r="N109" i="5"/>
  <c r="F109" i="5"/>
  <c r="H109" i="5"/>
  <c r="L109" i="5"/>
  <c r="Z109" i="4" s="1"/>
  <c r="H108" i="5"/>
  <c r="F108" i="5"/>
  <c r="M108" i="5"/>
  <c r="L108" i="5"/>
  <c r="Z108" i="4" s="1"/>
  <c r="N108" i="5"/>
  <c r="K108" i="6"/>
  <c r="G108" i="6"/>
  <c r="H108" i="6" s="1"/>
  <c r="M107" i="5"/>
  <c r="F107" i="5"/>
  <c r="L107" i="5"/>
  <c r="Z107" i="4" s="1"/>
  <c r="N107" i="5"/>
  <c r="H107" i="5"/>
  <c r="K107" i="6"/>
  <c r="G107" i="6"/>
  <c r="H107" i="6" s="1"/>
  <c r="K105" i="6"/>
  <c r="G105" i="6"/>
  <c r="H105" i="6" s="1"/>
  <c r="F105" i="5"/>
  <c r="H105" i="5"/>
  <c r="L105" i="5"/>
  <c r="Z105" i="4" s="1"/>
  <c r="M105" i="5"/>
  <c r="N105" i="5"/>
  <c r="N104" i="5"/>
  <c r="L104" i="5"/>
  <c r="Z104" i="4" s="1"/>
  <c r="M104" i="5"/>
  <c r="F104" i="5"/>
  <c r="H104" i="5"/>
  <c r="K104" i="6"/>
  <c r="G104" i="6"/>
  <c r="H104" i="6" s="1"/>
  <c r="F103" i="5"/>
  <c r="H103" i="5"/>
  <c r="L103" i="5"/>
  <c r="Z103" i="4" s="1"/>
  <c r="N103" i="5"/>
  <c r="M103" i="5"/>
  <c r="K103" i="6"/>
  <c r="G103" i="6"/>
  <c r="H103" i="6"/>
  <c r="L102" i="5"/>
  <c r="Z102" i="4" s="1"/>
  <c r="N102" i="5"/>
  <c r="H102" i="5"/>
  <c r="F102" i="5"/>
  <c r="M102" i="5"/>
  <c r="K102" i="6"/>
  <c r="G102" i="6"/>
  <c r="H102" i="6"/>
  <c r="L99" i="5"/>
  <c r="Z99" i="4" s="1"/>
  <c r="M99" i="5"/>
  <c r="F99" i="5"/>
  <c r="H99" i="5"/>
  <c r="N99" i="5"/>
  <c r="K99" i="6"/>
  <c r="G99" i="6"/>
  <c r="H99" i="6" s="1"/>
  <c r="F98" i="5"/>
  <c r="M98" i="5"/>
  <c r="H98" i="5"/>
  <c r="L98" i="5"/>
  <c r="Z98" i="4" s="1"/>
  <c r="N98" i="5"/>
  <c r="K98" i="6"/>
  <c r="G98" i="6"/>
  <c r="H98" i="6" s="1"/>
  <c r="H97" i="5"/>
  <c r="L97" i="5"/>
  <c r="Z97" i="4" s="1"/>
  <c r="N97" i="5"/>
  <c r="F97" i="5"/>
  <c r="M97" i="5"/>
  <c r="K97" i="6"/>
  <c r="G97" i="6"/>
  <c r="H97" i="6" s="1"/>
  <c r="N93" i="5"/>
  <c r="H93" i="5"/>
  <c r="M93" i="5"/>
  <c r="F93" i="5"/>
  <c r="L93" i="5"/>
  <c r="Z93" i="4" s="1"/>
  <c r="K93" i="6"/>
  <c r="G93" i="6"/>
  <c r="H93" i="6" s="1"/>
  <c r="K91" i="6"/>
  <c r="G91" i="6"/>
  <c r="H91" i="6" s="1"/>
  <c r="N91" i="5"/>
  <c r="H91" i="5"/>
  <c r="L91" i="5"/>
  <c r="Z91" i="4" s="1"/>
  <c r="F91" i="5"/>
  <c r="M91" i="5"/>
  <c r="K89" i="6"/>
  <c r="G89" i="6"/>
  <c r="H89" i="6" s="1"/>
  <c r="F89" i="5"/>
  <c r="M89" i="5"/>
  <c r="L89" i="5"/>
  <c r="Z89" i="4" s="1"/>
  <c r="H89" i="5"/>
  <c r="N89" i="5"/>
  <c r="N87" i="5"/>
  <c r="L87" i="5"/>
  <c r="Z87" i="4" s="1"/>
  <c r="F87" i="5"/>
  <c r="H87" i="5"/>
  <c r="M87" i="5"/>
  <c r="K87" i="6"/>
  <c r="G87" i="6"/>
  <c r="H87" i="6" s="1"/>
  <c r="M83" i="5"/>
  <c r="H83" i="5"/>
  <c r="L83" i="5"/>
  <c r="Z83" i="4" s="1"/>
  <c r="F83" i="5"/>
  <c r="N83" i="5"/>
  <c r="K83" i="6"/>
  <c r="G83" i="6"/>
  <c r="H83" i="6" s="1"/>
  <c r="F82" i="5"/>
  <c r="M82" i="5"/>
  <c r="N82" i="5"/>
  <c r="H82" i="5"/>
  <c r="L82" i="5"/>
  <c r="Z82" i="4" s="1"/>
  <c r="K82" i="6"/>
  <c r="G82" i="6"/>
  <c r="H82" i="6" s="1"/>
  <c r="F81" i="5"/>
  <c r="M81" i="5"/>
  <c r="L81" i="5"/>
  <c r="Z81" i="4" s="1"/>
  <c r="H81" i="5"/>
  <c r="N81" i="5"/>
  <c r="K81" i="6"/>
  <c r="G81" i="6"/>
  <c r="H81" i="6" s="1"/>
  <c r="N80" i="5"/>
  <c r="F80" i="5"/>
  <c r="H80" i="5"/>
  <c r="L80" i="5"/>
  <c r="Z80" i="4" s="1"/>
  <c r="M80" i="5"/>
  <c r="K80" i="6"/>
  <c r="G80" i="6"/>
  <c r="H80" i="6" s="1"/>
  <c r="L79" i="5"/>
  <c r="Z79" i="4" s="1"/>
  <c r="N79" i="5"/>
  <c r="F79" i="5"/>
  <c r="H79" i="5"/>
  <c r="M79" i="5"/>
  <c r="K79" i="6"/>
  <c r="G79" i="6"/>
  <c r="H79" i="6" s="1"/>
  <c r="L76" i="5"/>
  <c r="Z76" i="4" s="1"/>
  <c r="N76" i="5"/>
  <c r="F76" i="5"/>
  <c r="H76" i="5"/>
  <c r="M76" i="5"/>
  <c r="K76" i="6"/>
  <c r="G76" i="6"/>
  <c r="H76" i="6" s="1"/>
  <c r="L73" i="5"/>
  <c r="Z73" i="4" s="1"/>
  <c r="F73" i="5"/>
  <c r="M73" i="5"/>
  <c r="N73" i="5"/>
  <c r="H73" i="5"/>
  <c r="K73" i="6"/>
  <c r="G73" i="6"/>
  <c r="H73" i="6" s="1"/>
  <c r="M69" i="5"/>
  <c r="H69" i="5"/>
  <c r="F69" i="5"/>
  <c r="L69" i="5"/>
  <c r="Z69" i="4" s="1"/>
  <c r="N69" i="5"/>
  <c r="K69" i="6"/>
  <c r="G69" i="6"/>
  <c r="H69" i="6" s="1"/>
  <c r="N68" i="5"/>
  <c r="H68" i="5"/>
  <c r="M68" i="5"/>
  <c r="F68" i="5"/>
  <c r="L68" i="5"/>
  <c r="Z68" i="4" s="1"/>
  <c r="K68" i="6"/>
  <c r="G68" i="6"/>
  <c r="H68" i="6" s="1"/>
  <c r="N61" i="5"/>
  <c r="F61" i="5"/>
  <c r="M61" i="5"/>
  <c r="H61" i="5"/>
  <c r="L61" i="5"/>
  <c r="Z61" i="4" s="1"/>
  <c r="K61" i="6"/>
  <c r="G61" i="6"/>
  <c r="H61" i="6" s="1"/>
  <c r="M60" i="5"/>
  <c r="H60" i="5"/>
  <c r="L60" i="5"/>
  <c r="Z60" i="4" s="1"/>
  <c r="F60" i="5"/>
  <c r="N60" i="5"/>
  <c r="K60" i="6"/>
  <c r="G60" i="6"/>
  <c r="H60" i="6" s="1"/>
  <c r="H58" i="5"/>
  <c r="M58" i="5"/>
  <c r="N58" i="5"/>
  <c r="F58" i="5"/>
  <c r="L58" i="5"/>
  <c r="Z58" i="4" s="1"/>
  <c r="K58" i="6"/>
  <c r="G58" i="6"/>
  <c r="H58" i="6" s="1"/>
  <c r="H57" i="5"/>
  <c r="L57" i="5"/>
  <c r="Z57" i="4" s="1"/>
  <c r="F57" i="5"/>
  <c r="N57" i="5"/>
  <c r="M57" i="5"/>
  <c r="K57" i="6"/>
  <c r="G57" i="6"/>
  <c r="H57" i="6" s="1"/>
  <c r="K55" i="6"/>
  <c r="G55" i="6"/>
  <c r="H55" i="6" s="1"/>
  <c r="F55" i="5"/>
  <c r="L55" i="5"/>
  <c r="Z55" i="4" s="1"/>
  <c r="N55" i="5"/>
  <c r="H55" i="5"/>
  <c r="M55" i="5"/>
  <c r="N54" i="5"/>
  <c r="H54" i="5"/>
  <c r="L54" i="5"/>
  <c r="Z54" i="4" s="1"/>
  <c r="F54" i="5"/>
  <c r="M54" i="5"/>
  <c r="K54" i="6"/>
  <c r="G54" i="6"/>
  <c r="H54" i="6" s="1"/>
  <c r="M51" i="5"/>
  <c r="F51" i="5"/>
  <c r="H51" i="5"/>
  <c r="L51" i="5"/>
  <c r="Z51" i="4" s="1"/>
  <c r="N51" i="5"/>
  <c r="K51" i="6"/>
  <c r="G51" i="6"/>
  <c r="H51" i="6" s="1"/>
  <c r="H50" i="5"/>
  <c r="F50" i="5"/>
  <c r="N50" i="5"/>
  <c r="M50" i="5"/>
  <c r="L50" i="5"/>
  <c r="Z50" i="4" s="1"/>
  <c r="K50" i="6"/>
  <c r="G50" i="6"/>
  <c r="H50" i="6" s="1"/>
  <c r="L49" i="5"/>
  <c r="Z49" i="4" s="1"/>
  <c r="N49" i="5"/>
  <c r="M49" i="5"/>
  <c r="F49" i="5"/>
  <c r="H49" i="5"/>
  <c r="K49" i="6"/>
  <c r="G49" i="6"/>
  <c r="H49" i="6" s="1"/>
  <c r="F48" i="5"/>
  <c r="M48" i="5"/>
  <c r="N48" i="5"/>
  <c r="L48" i="5"/>
  <c r="Z48" i="4" s="1"/>
  <c r="H48" i="5"/>
  <c r="K48" i="6"/>
  <c r="G48" i="6"/>
  <c r="H48" i="6" s="1"/>
  <c r="F47" i="5"/>
  <c r="H47" i="5"/>
  <c r="L47" i="5"/>
  <c r="Z47" i="4" s="1"/>
  <c r="M47" i="5"/>
  <c r="N47" i="5"/>
  <c r="K47" i="6"/>
  <c r="G47" i="6"/>
  <c r="H47" i="6" s="1"/>
  <c r="F46" i="5"/>
  <c r="H46" i="5"/>
  <c r="L46" i="5"/>
  <c r="Z46" i="4" s="1"/>
  <c r="M46" i="5"/>
  <c r="N46" i="5"/>
  <c r="K46" i="6"/>
  <c r="G46" i="6"/>
  <c r="H46" i="6" s="1"/>
  <c r="F43" i="5"/>
  <c r="H43" i="5"/>
  <c r="L43" i="5"/>
  <c r="Z43" i="4" s="1"/>
  <c r="M43" i="5"/>
  <c r="N43" i="5"/>
  <c r="K43" i="6"/>
  <c r="G43" i="6"/>
  <c r="H43" i="6"/>
  <c r="F42" i="5"/>
  <c r="H42" i="5"/>
  <c r="L42" i="5"/>
  <c r="Z42" i="4" s="1"/>
  <c r="M42" i="5"/>
  <c r="N42" i="5"/>
  <c r="K42" i="6"/>
  <c r="G42" i="6"/>
  <c r="H42" i="6"/>
  <c r="F41" i="5"/>
  <c r="H41" i="5"/>
  <c r="L41" i="5"/>
  <c r="Z41" i="4" s="1"/>
  <c r="M41" i="5"/>
  <c r="N41" i="5"/>
  <c r="K41" i="6"/>
  <c r="G41" i="6"/>
  <c r="H41" i="6"/>
  <c r="F40" i="5"/>
  <c r="H40" i="5"/>
  <c r="L40" i="5"/>
  <c r="Z40" i="4" s="1"/>
  <c r="M40" i="5"/>
  <c r="N40" i="5"/>
  <c r="K40" i="6"/>
  <c r="G40" i="6"/>
  <c r="H40" i="6"/>
  <c r="F39" i="5"/>
  <c r="H39" i="5"/>
  <c r="L39" i="5"/>
  <c r="Z39" i="4" s="1"/>
  <c r="M39" i="5"/>
  <c r="N39" i="5"/>
  <c r="K39" i="6"/>
  <c r="G39" i="6"/>
  <c r="H39" i="6"/>
  <c r="F37" i="5"/>
  <c r="H37" i="5"/>
  <c r="L37" i="5"/>
  <c r="Z37" i="4" s="1"/>
  <c r="M37" i="5"/>
  <c r="N37" i="5"/>
  <c r="K37" i="6"/>
  <c r="G37" i="6"/>
  <c r="H37" i="6"/>
  <c r="F36" i="5"/>
  <c r="H36" i="5"/>
  <c r="L36" i="5"/>
  <c r="Z36" i="4" s="1"/>
  <c r="M36" i="5"/>
  <c r="N36" i="5"/>
  <c r="K36" i="6"/>
  <c r="G36" i="6"/>
  <c r="H36" i="6"/>
  <c r="F35" i="5"/>
  <c r="H35" i="5"/>
  <c r="L35" i="5"/>
  <c r="Z35" i="4" s="1"/>
  <c r="M35" i="5"/>
  <c r="N35" i="5"/>
  <c r="K35" i="6"/>
  <c r="G35" i="6"/>
  <c r="H35" i="6"/>
  <c r="F34" i="5"/>
  <c r="H34" i="5"/>
  <c r="L34" i="5"/>
  <c r="Z34" i="4" s="1"/>
  <c r="M34" i="5"/>
  <c r="N34" i="5"/>
  <c r="K34" i="6"/>
  <c r="G34" i="6"/>
  <c r="H34" i="6"/>
  <c r="F33" i="5"/>
  <c r="H33" i="5"/>
  <c r="L33" i="5"/>
  <c r="Z33" i="4" s="1"/>
  <c r="M33" i="5"/>
  <c r="N33" i="5"/>
  <c r="K33" i="6"/>
  <c r="G33" i="6"/>
  <c r="H33" i="6"/>
  <c r="F32" i="5"/>
  <c r="H32" i="5"/>
  <c r="L32" i="5"/>
  <c r="Z32" i="4" s="1"/>
  <c r="M32" i="5"/>
  <c r="N32" i="5"/>
  <c r="K32" i="6"/>
  <c r="G32" i="6"/>
  <c r="H32" i="6"/>
  <c r="F31" i="5"/>
  <c r="H31" i="5"/>
  <c r="L31" i="5"/>
  <c r="Z31" i="4" s="1"/>
  <c r="M31" i="5"/>
  <c r="N31" i="5"/>
  <c r="K31" i="6"/>
  <c r="G31" i="6"/>
  <c r="H31" i="6"/>
  <c r="F29" i="5"/>
  <c r="H29" i="5"/>
  <c r="L29" i="5"/>
  <c r="Z29" i="4" s="1"/>
  <c r="M29" i="5"/>
  <c r="N29" i="5"/>
  <c r="K29" i="6"/>
  <c r="G29" i="6"/>
  <c r="H29" i="6"/>
  <c r="F28" i="5"/>
  <c r="H28" i="5"/>
  <c r="L28" i="5"/>
  <c r="Z28" i="4" s="1"/>
  <c r="M28" i="5"/>
  <c r="N28" i="5"/>
  <c r="K28" i="6"/>
  <c r="G28" i="6"/>
  <c r="H28" i="6"/>
  <c r="F25" i="5"/>
  <c r="H25" i="5"/>
  <c r="L25" i="5"/>
  <c r="Z25" i="4" s="1"/>
  <c r="M25" i="5"/>
  <c r="N25" i="5"/>
  <c r="K25" i="6"/>
  <c r="G25" i="6"/>
  <c r="H25" i="6"/>
  <c r="F21" i="5"/>
  <c r="H21" i="5"/>
  <c r="L21" i="5"/>
  <c r="Z21" i="4" s="1"/>
  <c r="M21" i="5"/>
  <c r="N21" i="5"/>
  <c r="K21" i="6"/>
  <c r="G21" i="6"/>
  <c r="H21" i="6"/>
  <c r="F19" i="5"/>
  <c r="H19" i="5"/>
  <c r="L19" i="5"/>
  <c r="Z19" i="4" s="1"/>
  <c r="M19" i="5"/>
  <c r="N19" i="5"/>
  <c r="K19" i="6"/>
  <c r="G19" i="6"/>
  <c r="H19" i="6"/>
  <c r="F18" i="5"/>
  <c r="H18" i="5"/>
  <c r="L18" i="5"/>
  <c r="Z18" i="4" s="1"/>
  <c r="M18" i="5"/>
  <c r="N18" i="5"/>
  <c r="K18" i="6"/>
  <c r="G18" i="6"/>
  <c r="H18" i="6"/>
  <c r="F17" i="5"/>
  <c r="H17" i="5"/>
  <c r="L17" i="5"/>
  <c r="Z17" i="4" s="1"/>
  <c r="M17" i="5"/>
  <c r="N17" i="5"/>
  <c r="K17" i="6"/>
  <c r="G17" i="6"/>
  <c r="H17" i="6" s="1"/>
  <c r="F16" i="5"/>
  <c r="H16" i="5"/>
  <c r="L16" i="5"/>
  <c r="Z16" i="4" s="1"/>
  <c r="M16" i="5"/>
  <c r="N16" i="5"/>
  <c r="K16" i="6"/>
  <c r="G16" i="6"/>
  <c r="H16" i="6" s="1"/>
  <c r="F15" i="5"/>
  <c r="H15" i="5"/>
  <c r="L15" i="5"/>
  <c r="Z15" i="4" s="1"/>
  <c r="M15" i="5"/>
  <c r="N15" i="5"/>
  <c r="K15" i="6"/>
  <c r="G15" i="6"/>
  <c r="H15" i="6"/>
  <c r="F14" i="5"/>
  <c r="H14" i="5"/>
  <c r="L14" i="5"/>
  <c r="Z14" i="4" s="1"/>
  <c r="M14" i="5"/>
  <c r="N14" i="5"/>
  <c r="K14" i="6"/>
  <c r="G14" i="6"/>
  <c r="H14" i="6" s="1"/>
  <c r="F13" i="5"/>
  <c r="H13" i="5"/>
  <c r="L13" i="5"/>
  <c r="Z13" i="4" s="1"/>
  <c r="M13" i="5"/>
  <c r="N13" i="5"/>
  <c r="K13" i="6"/>
  <c r="G13" i="6"/>
  <c r="H13" i="6" s="1"/>
  <c r="F12" i="5"/>
  <c r="H12" i="5"/>
  <c r="L12" i="5"/>
  <c r="Z12" i="4" s="1"/>
  <c r="M12" i="5"/>
  <c r="N12" i="5"/>
  <c r="K12" i="6"/>
  <c r="G12" i="6"/>
  <c r="H12" i="6" s="1"/>
  <c r="E11" i="5"/>
  <c r="E11" i="6"/>
  <c r="F11" i="6" s="1"/>
  <c r="F10" i="5"/>
  <c r="H10" i="5"/>
  <c r="L10" i="5"/>
  <c r="Z10" i="4" s="1"/>
  <c r="M10" i="5"/>
  <c r="N10" i="5"/>
  <c r="K10" i="6"/>
  <c r="G10" i="6"/>
  <c r="H10" i="6" s="1"/>
  <c r="F8" i="5"/>
  <c r="H8" i="5"/>
  <c r="L8" i="5"/>
  <c r="Z8" i="4" s="1"/>
  <c r="M8" i="5"/>
  <c r="N8" i="5"/>
  <c r="K8" i="6"/>
  <c r="G8" i="6"/>
  <c r="H8" i="6" s="1"/>
  <c r="F7" i="5"/>
  <c r="H7" i="5"/>
  <c r="L7" i="5"/>
  <c r="Z7" i="4" s="1"/>
  <c r="M7" i="5"/>
  <c r="N7" i="5"/>
  <c r="K7" i="6"/>
  <c r="G7" i="6"/>
  <c r="H7" i="6" s="1"/>
  <c r="F6" i="5"/>
  <c r="H6" i="5"/>
  <c r="L6" i="5"/>
  <c r="Z6" i="4" s="1"/>
  <c r="M6" i="5"/>
  <c r="N6" i="5"/>
  <c r="K6" i="6"/>
  <c r="G6" i="6"/>
  <c r="H6" i="6" s="1"/>
  <c r="E5" i="5"/>
  <c r="E5" i="6"/>
  <c r="V2" i="4"/>
  <c r="E181" i="5"/>
  <c r="E181" i="6"/>
  <c r="F181" i="6" s="1"/>
  <c r="E214" i="5"/>
  <c r="E214" i="6"/>
  <c r="F214" i="6" s="1"/>
  <c r="E211" i="5"/>
  <c r="E211" i="6"/>
  <c r="F211" i="6" s="1"/>
  <c r="E209" i="5"/>
  <c r="E209" i="6"/>
  <c r="F209" i="6" s="1"/>
  <c r="E206" i="5"/>
  <c r="E206" i="6"/>
  <c r="F206" i="6" s="1"/>
  <c r="E204" i="5"/>
  <c r="E204" i="6"/>
  <c r="F204" i="6" s="1"/>
  <c r="E203" i="5"/>
  <c r="E203" i="6"/>
  <c r="F203" i="6" s="1"/>
  <c r="E201" i="5"/>
  <c r="E201" i="6"/>
  <c r="F201" i="6" s="1"/>
  <c r="E200" i="5"/>
  <c r="E200" i="6"/>
  <c r="F200" i="6" s="1"/>
  <c r="E199" i="5"/>
  <c r="E199" i="6"/>
  <c r="F199" i="6" s="1"/>
  <c r="E193" i="5"/>
  <c r="E193" i="6"/>
  <c r="F193" i="6" s="1"/>
  <c r="E190" i="5"/>
  <c r="E190" i="6"/>
  <c r="F190" i="6" s="1"/>
  <c r="E188" i="5"/>
  <c r="E188" i="6"/>
  <c r="F188" i="6" s="1"/>
  <c r="E186" i="5"/>
  <c r="E186" i="6"/>
  <c r="F186" i="6" s="1"/>
  <c r="E185" i="5"/>
  <c r="E185" i="6"/>
  <c r="F185" i="6" s="1"/>
  <c r="E178" i="6"/>
  <c r="F178" i="6" s="1"/>
  <c r="E178" i="5"/>
  <c r="E177" i="5"/>
  <c r="E177" i="6"/>
  <c r="F177" i="6" s="1"/>
  <c r="E174" i="6"/>
  <c r="F174" i="6" s="1"/>
  <c r="E174" i="5"/>
  <c r="E166" i="5"/>
  <c r="E166" i="6"/>
  <c r="F166" i="6" s="1"/>
  <c r="E164" i="5"/>
  <c r="E164" i="6"/>
  <c r="F164" i="6" s="1"/>
  <c r="E159" i="5"/>
  <c r="E159" i="6"/>
  <c r="F159" i="6" s="1"/>
  <c r="E114" i="5"/>
  <c r="E114" i="6"/>
  <c r="F114" i="6" s="1"/>
  <c r="E110" i="5"/>
  <c r="E110" i="6"/>
  <c r="F110" i="6" s="1"/>
  <c r="E106" i="6"/>
  <c r="F106" i="6" s="1"/>
  <c r="E106" i="5"/>
  <c r="E96" i="5"/>
  <c r="E96" i="6"/>
  <c r="F96" i="6" s="1"/>
  <c r="E77" i="5"/>
  <c r="E77" i="6"/>
  <c r="F77" i="6" s="1"/>
  <c r="E75" i="5"/>
  <c r="E75" i="6"/>
  <c r="F75" i="6" s="1"/>
  <c r="E74" i="5"/>
  <c r="E74" i="6"/>
  <c r="F74" i="6" s="1"/>
  <c r="E59" i="5"/>
  <c r="E59" i="6"/>
  <c r="F59" i="6" s="1"/>
  <c r="E144" i="5"/>
  <c r="E144" i="6"/>
  <c r="F144" i="6" s="1"/>
  <c r="E137" i="5"/>
  <c r="E137" i="6"/>
  <c r="F137" i="6" s="1"/>
  <c r="E134" i="5"/>
  <c r="E134" i="6"/>
  <c r="F134" i="6" s="1"/>
  <c r="E133" i="5"/>
  <c r="E133" i="6"/>
  <c r="F133" i="6" s="1"/>
  <c r="E132" i="5"/>
  <c r="E132" i="6"/>
  <c r="F132" i="6" s="1"/>
  <c r="E130" i="5"/>
  <c r="E130" i="6"/>
  <c r="F130" i="6" s="1"/>
  <c r="E126" i="5"/>
  <c r="E126" i="6"/>
  <c r="F126" i="6" s="1"/>
  <c r="E122" i="5"/>
  <c r="E122" i="6"/>
  <c r="F122" i="6" s="1"/>
  <c r="E121" i="5"/>
  <c r="E121" i="6"/>
  <c r="F121" i="6" s="1"/>
  <c r="E119" i="5"/>
  <c r="E119" i="6"/>
  <c r="F119" i="6" s="1"/>
  <c r="E118" i="5"/>
  <c r="E118" i="6"/>
  <c r="F118" i="6" s="1"/>
  <c r="E117" i="5"/>
  <c r="E117" i="6"/>
  <c r="F117" i="6" s="1"/>
  <c r="E115" i="5"/>
  <c r="E115" i="6"/>
  <c r="F115" i="6" s="1"/>
  <c r="E113" i="5"/>
  <c r="E113" i="6"/>
  <c r="F113" i="6" s="1"/>
  <c r="E101" i="5"/>
  <c r="E101" i="6"/>
  <c r="F101" i="6" s="1"/>
  <c r="E100" i="5"/>
  <c r="E100" i="6"/>
  <c r="F100" i="6" s="1"/>
  <c r="E92" i="6"/>
  <c r="F92" i="6" s="1"/>
  <c r="E92" i="5"/>
  <c r="E90" i="6"/>
  <c r="F90" i="6" s="1"/>
  <c r="E90" i="5"/>
  <c r="E84" i="5"/>
  <c r="E84" i="6"/>
  <c r="F84" i="6" s="1"/>
  <c r="E78" i="5"/>
  <c r="E78" i="6"/>
  <c r="F78" i="6" s="1"/>
  <c r="E52" i="5"/>
  <c r="E52" i="6"/>
  <c r="F52" i="6" s="1"/>
  <c r="E9" i="5"/>
  <c r="E9" i="6"/>
  <c r="F9" i="6" s="1"/>
  <c r="E95" i="5"/>
  <c r="E95" i="6"/>
  <c r="F95" i="6" s="1"/>
  <c r="E88" i="6"/>
  <c r="F88" i="6" s="1"/>
  <c r="E88" i="5"/>
  <c r="E86" i="5"/>
  <c r="E86" i="6"/>
  <c r="F86" i="6" s="1"/>
  <c r="E94" i="5"/>
  <c r="E94" i="6"/>
  <c r="F94" i="6" s="1"/>
  <c r="E85" i="5"/>
  <c r="E85" i="6"/>
  <c r="F85" i="6" s="1"/>
  <c r="E56" i="5"/>
  <c r="E56" i="6"/>
  <c r="F56" i="6" s="1"/>
  <c r="E72" i="5"/>
  <c r="E72" i="6"/>
  <c r="F72" i="6" s="1"/>
  <c r="E71" i="5"/>
  <c r="E71" i="6"/>
  <c r="F71" i="6" s="1"/>
  <c r="E70" i="5"/>
  <c r="E70" i="6"/>
  <c r="F70" i="6" s="1"/>
  <c r="E67" i="5"/>
  <c r="E67" i="6"/>
  <c r="F67" i="6" s="1"/>
  <c r="E66" i="5"/>
  <c r="E66" i="6"/>
  <c r="F66" i="6" s="1"/>
  <c r="E65" i="5"/>
  <c r="E65" i="6"/>
  <c r="F65" i="6" s="1"/>
  <c r="E64" i="5"/>
  <c r="E64" i="6"/>
  <c r="F64" i="6" s="1"/>
  <c r="E63" i="5"/>
  <c r="E63" i="6"/>
  <c r="F63" i="6" s="1"/>
  <c r="E62" i="5"/>
  <c r="E62" i="6"/>
  <c r="F62" i="6" s="1"/>
  <c r="E53" i="5"/>
  <c r="E53" i="6"/>
  <c r="F53" i="6" s="1"/>
  <c r="E45" i="5"/>
  <c r="E45" i="6"/>
  <c r="F45" i="6" s="1"/>
  <c r="E44" i="5"/>
  <c r="E44" i="6"/>
  <c r="F44" i="6" s="1"/>
  <c r="E38" i="5"/>
  <c r="E38" i="6"/>
  <c r="F38" i="6" s="1"/>
  <c r="E30" i="5"/>
  <c r="E30" i="6"/>
  <c r="F30" i="6" s="1"/>
  <c r="E27" i="5"/>
  <c r="E27" i="6"/>
  <c r="F27" i="6" s="1"/>
  <c r="E26" i="5"/>
  <c r="E26" i="6"/>
  <c r="F26" i="6" s="1"/>
  <c r="E24" i="5"/>
  <c r="E24" i="6"/>
  <c r="F24" i="6" s="1"/>
  <c r="E23" i="5"/>
  <c r="E23" i="6"/>
  <c r="F23" i="6" s="1"/>
  <c r="E22" i="5"/>
  <c r="E22" i="6"/>
  <c r="F22" i="6" s="1"/>
  <c r="E20" i="5"/>
  <c r="E20" i="6"/>
  <c r="F20" i="6" s="1"/>
  <c r="J220" i="6" l="1"/>
  <c r="L220" i="6" s="1"/>
  <c r="M220" i="6" s="1"/>
  <c r="W220" i="4"/>
  <c r="G220" i="5"/>
  <c r="I220" i="5"/>
  <c r="J220" i="5"/>
  <c r="O220" i="5" s="1"/>
  <c r="X220" i="4"/>
  <c r="N220" i="6"/>
  <c r="O220" i="6"/>
  <c r="P220" i="6" s="1"/>
  <c r="J219" i="6"/>
  <c r="L219" i="6" s="1"/>
  <c r="M219" i="6" s="1"/>
  <c r="W219" i="4"/>
  <c r="G219" i="5"/>
  <c r="J219" i="5"/>
  <c r="O219" i="5" s="1"/>
  <c r="X219" i="4"/>
  <c r="I219" i="5"/>
  <c r="N219" i="6"/>
  <c r="O219" i="6" s="1"/>
  <c r="P219" i="6" s="1"/>
  <c r="J218" i="6"/>
  <c r="L218" i="6" s="1"/>
  <c r="M218" i="6" s="1"/>
  <c r="W218" i="4"/>
  <c r="G218" i="5"/>
  <c r="I218" i="5"/>
  <c r="X218" i="4"/>
  <c r="J218" i="5"/>
  <c r="O218" i="5" s="1"/>
  <c r="N218" i="6"/>
  <c r="O218" i="6" s="1"/>
  <c r="P218" i="6" s="1"/>
  <c r="G217" i="5"/>
  <c r="J217" i="6"/>
  <c r="L217" i="6" s="1"/>
  <c r="M217" i="6" s="1"/>
  <c r="W217" i="4"/>
  <c r="I217" i="5"/>
  <c r="J217" i="5"/>
  <c r="O217" i="5" s="1"/>
  <c r="X217" i="4"/>
  <c r="N217" i="6"/>
  <c r="O217" i="6" s="1"/>
  <c r="P217" i="6" s="1"/>
  <c r="I216" i="5"/>
  <c r="X216" i="4"/>
  <c r="J216" i="5"/>
  <c r="O216" i="5" s="1"/>
  <c r="G216" i="5"/>
  <c r="J216" i="6"/>
  <c r="L216" i="6" s="1"/>
  <c r="M216" i="6" s="1"/>
  <c r="W216" i="4"/>
  <c r="J215" i="6"/>
  <c r="L215" i="6" s="1"/>
  <c r="M215" i="6" s="1"/>
  <c r="W215" i="4"/>
  <c r="G215" i="5"/>
  <c r="I215" i="5"/>
  <c r="J215" i="5"/>
  <c r="O215" i="5" s="1"/>
  <c r="X215" i="4"/>
  <c r="N215" i="6"/>
  <c r="O215" i="6" s="1"/>
  <c r="P215" i="6" s="1"/>
  <c r="J213" i="6"/>
  <c r="L213" i="6" s="1"/>
  <c r="M213" i="6" s="1"/>
  <c r="W213" i="4"/>
  <c r="G213" i="5"/>
  <c r="I213" i="5"/>
  <c r="J213" i="5"/>
  <c r="O213" i="5" s="1"/>
  <c r="X213" i="4"/>
  <c r="N213" i="6"/>
  <c r="O213" i="6" s="1"/>
  <c r="P213" i="6" s="1"/>
  <c r="G212" i="5"/>
  <c r="J212" i="6"/>
  <c r="L212" i="6" s="1"/>
  <c r="M212" i="6" s="1"/>
  <c r="W212" i="4"/>
  <c r="I212" i="5"/>
  <c r="J212" i="5"/>
  <c r="O212" i="5" s="1"/>
  <c r="X212" i="4"/>
  <c r="N212" i="6"/>
  <c r="O212" i="6" s="1"/>
  <c r="P212" i="6" s="1"/>
  <c r="J210" i="6"/>
  <c r="L210" i="6" s="1"/>
  <c r="M210" i="6" s="1"/>
  <c r="W210" i="4"/>
  <c r="G210" i="5"/>
  <c r="I210" i="5"/>
  <c r="J210" i="5"/>
  <c r="O210" i="5" s="1"/>
  <c r="X210" i="4"/>
  <c r="N210" i="6"/>
  <c r="O210" i="6" s="1"/>
  <c r="P210" i="6" s="1"/>
  <c r="I208" i="5"/>
  <c r="X208" i="4"/>
  <c r="J208" i="5"/>
  <c r="G208" i="5"/>
  <c r="O208" i="5"/>
  <c r="J208" i="6"/>
  <c r="L208" i="6" s="1"/>
  <c r="M208" i="6" s="1"/>
  <c r="W208" i="4"/>
  <c r="G207" i="5"/>
  <c r="J207" i="6"/>
  <c r="L207" i="6" s="1"/>
  <c r="M207" i="6" s="1"/>
  <c r="W207" i="4"/>
  <c r="J207" i="5"/>
  <c r="O207" i="5" s="1"/>
  <c r="X207" i="4"/>
  <c r="I207" i="5"/>
  <c r="N207" i="6"/>
  <c r="O207" i="6" s="1"/>
  <c r="P207" i="6" s="1"/>
  <c r="I205" i="5"/>
  <c r="X205" i="4"/>
  <c r="J205" i="5"/>
  <c r="G205" i="5"/>
  <c r="J205" i="6"/>
  <c r="L205" i="6" s="1"/>
  <c r="M205" i="6" s="1"/>
  <c r="W205" i="4"/>
  <c r="O205" i="5"/>
  <c r="N205" i="6"/>
  <c r="O205" i="6" s="1"/>
  <c r="P205" i="6" s="1"/>
  <c r="G202" i="5"/>
  <c r="J202" i="6"/>
  <c r="L202" i="6" s="1"/>
  <c r="M202" i="6" s="1"/>
  <c r="W202" i="4"/>
  <c r="I202" i="5"/>
  <c r="X202" i="4"/>
  <c r="J202" i="5"/>
  <c r="O202" i="5" s="1"/>
  <c r="N202" i="6"/>
  <c r="O202" i="6"/>
  <c r="P202" i="6" s="1"/>
  <c r="I198" i="5"/>
  <c r="J198" i="5"/>
  <c r="X198" i="4"/>
  <c r="J198" i="6"/>
  <c r="L198" i="6" s="1"/>
  <c r="M198" i="6" s="1"/>
  <c r="N198" i="6" s="1"/>
  <c r="O198" i="6" s="1"/>
  <c r="P198" i="6" s="1"/>
  <c r="W198" i="4"/>
  <c r="G198" i="5"/>
  <c r="O198" i="5"/>
  <c r="J197" i="5"/>
  <c r="X197" i="4"/>
  <c r="I197" i="5"/>
  <c r="G197" i="5"/>
  <c r="O197" i="5"/>
  <c r="J197" i="6"/>
  <c r="L197" i="6" s="1"/>
  <c r="M197" i="6" s="1"/>
  <c r="W197" i="4"/>
  <c r="G196" i="5"/>
  <c r="J196" i="6"/>
  <c r="L196" i="6" s="1"/>
  <c r="M196" i="6" s="1"/>
  <c r="W196" i="4"/>
  <c r="I196" i="5"/>
  <c r="X196" i="4"/>
  <c r="J196" i="5"/>
  <c r="O196" i="5" s="1"/>
  <c r="I195" i="5"/>
  <c r="J195" i="5"/>
  <c r="X195" i="4"/>
  <c r="J195" i="6"/>
  <c r="L195" i="6" s="1"/>
  <c r="M195" i="6" s="1"/>
  <c r="W195" i="4"/>
  <c r="G195" i="5"/>
  <c r="O195" i="5"/>
  <c r="N195" i="6"/>
  <c r="O195" i="6"/>
  <c r="P195" i="6" s="1"/>
  <c r="G194" i="5"/>
  <c r="J194" i="6"/>
  <c r="L194" i="6" s="1"/>
  <c r="M194" i="6" s="1"/>
  <c r="W194" i="4"/>
  <c r="I194" i="5"/>
  <c r="X194" i="4"/>
  <c r="J194" i="5"/>
  <c r="O194" i="5" s="1"/>
  <c r="N194" i="6"/>
  <c r="O194" i="6"/>
  <c r="P194" i="6" s="1"/>
  <c r="I192" i="5"/>
  <c r="X192" i="4"/>
  <c r="J192" i="5"/>
  <c r="G192" i="5"/>
  <c r="O192" i="5"/>
  <c r="J192" i="6"/>
  <c r="L192" i="6" s="1"/>
  <c r="M192" i="6" s="1"/>
  <c r="W192" i="4"/>
  <c r="N192" i="6"/>
  <c r="O192" i="6"/>
  <c r="P192" i="6" s="1"/>
  <c r="G191" i="5"/>
  <c r="J191" i="6"/>
  <c r="L191" i="6" s="1"/>
  <c r="M191" i="6" s="1"/>
  <c r="W191" i="4"/>
  <c r="J191" i="5"/>
  <c r="O191" i="5" s="1"/>
  <c r="I191" i="5"/>
  <c r="X191" i="4"/>
  <c r="N191" i="6"/>
  <c r="O191" i="6"/>
  <c r="P191" i="6" s="1"/>
  <c r="G189" i="5"/>
  <c r="J189" i="6"/>
  <c r="L189" i="6" s="1"/>
  <c r="M189" i="6" s="1"/>
  <c r="W189" i="4"/>
  <c r="I189" i="5"/>
  <c r="J189" i="5"/>
  <c r="O189" i="5" s="1"/>
  <c r="X189" i="4"/>
  <c r="N189" i="6"/>
  <c r="O189" i="6"/>
  <c r="P189" i="6" s="1"/>
  <c r="I187" i="5"/>
  <c r="J187" i="5"/>
  <c r="X187" i="4"/>
  <c r="G187" i="5"/>
  <c r="O187" i="5"/>
  <c r="J187" i="6"/>
  <c r="L187" i="6" s="1"/>
  <c r="M187" i="6" s="1"/>
  <c r="W187" i="4"/>
  <c r="N187" i="6"/>
  <c r="O187" i="6"/>
  <c r="P187" i="6" s="1"/>
  <c r="J184" i="6"/>
  <c r="L184" i="6" s="1"/>
  <c r="M184" i="6" s="1"/>
  <c r="W184" i="4"/>
  <c r="G184" i="5"/>
  <c r="J184" i="5"/>
  <c r="O184" i="5" s="1"/>
  <c r="X184" i="4"/>
  <c r="I184" i="5"/>
  <c r="N184" i="6"/>
  <c r="O184" i="6"/>
  <c r="P184" i="6" s="1"/>
  <c r="I183" i="5"/>
  <c r="X183" i="4"/>
  <c r="J183" i="5"/>
  <c r="O183" i="5"/>
  <c r="J183" i="6"/>
  <c r="L183" i="6" s="1"/>
  <c r="M183" i="6" s="1"/>
  <c r="W183" i="4"/>
  <c r="G183" i="5"/>
  <c r="N183" i="6"/>
  <c r="O183" i="6"/>
  <c r="P183" i="6" s="1"/>
  <c r="J182" i="6"/>
  <c r="L182" i="6" s="1"/>
  <c r="M182" i="6" s="1"/>
  <c r="W182" i="4"/>
  <c r="G182" i="5"/>
  <c r="J182" i="5"/>
  <c r="O182" i="5" s="1"/>
  <c r="X182" i="4"/>
  <c r="I182" i="5"/>
  <c r="N182" i="6"/>
  <c r="O182" i="6" s="1"/>
  <c r="P182" i="6" s="1"/>
  <c r="J180" i="6"/>
  <c r="L180" i="6" s="1"/>
  <c r="M180" i="6" s="1"/>
  <c r="W180" i="4"/>
  <c r="G180" i="5"/>
  <c r="J180" i="5"/>
  <c r="O180" i="5" s="1"/>
  <c r="X180" i="4"/>
  <c r="I180" i="5"/>
  <c r="N180" i="6"/>
  <c r="O180" i="6"/>
  <c r="P180" i="6" s="1"/>
  <c r="I179" i="5"/>
  <c r="J179" i="5"/>
  <c r="X179" i="4"/>
  <c r="G179" i="5"/>
  <c r="O179" i="5"/>
  <c r="J179" i="6"/>
  <c r="L179" i="6" s="1"/>
  <c r="M179" i="6" s="1"/>
  <c r="W179" i="4"/>
  <c r="G176" i="5"/>
  <c r="W176" i="4"/>
  <c r="J176" i="6"/>
  <c r="L176" i="6" s="1"/>
  <c r="M176" i="6" s="1"/>
  <c r="I176" i="5"/>
  <c r="J176" i="5"/>
  <c r="O176" i="5" s="1"/>
  <c r="X176" i="4"/>
  <c r="N176" i="6"/>
  <c r="O176" i="6"/>
  <c r="P176" i="6" s="1"/>
  <c r="X175" i="4"/>
  <c r="I175" i="5"/>
  <c r="J175" i="5"/>
  <c r="O175" i="5"/>
  <c r="G175" i="5"/>
  <c r="J175" i="6"/>
  <c r="L175" i="6" s="1"/>
  <c r="M175" i="6" s="1"/>
  <c r="W175" i="4"/>
  <c r="N175" i="6"/>
  <c r="O175" i="6" s="1"/>
  <c r="P175" i="6" s="1"/>
  <c r="J173" i="5"/>
  <c r="X173" i="4"/>
  <c r="I173" i="5"/>
  <c r="O173" i="5"/>
  <c r="J173" i="6"/>
  <c r="L173" i="6" s="1"/>
  <c r="M173" i="6" s="1"/>
  <c r="W173" i="4"/>
  <c r="G173" i="5"/>
  <c r="J172" i="5"/>
  <c r="X172" i="4"/>
  <c r="I172" i="5"/>
  <c r="G172" i="5"/>
  <c r="O172" i="5"/>
  <c r="W172" i="4"/>
  <c r="J172" i="6"/>
  <c r="L172" i="6" s="1"/>
  <c r="M172" i="6" s="1"/>
  <c r="I171" i="5"/>
  <c r="J171" i="5"/>
  <c r="O171" i="5" s="1"/>
  <c r="X171" i="4"/>
  <c r="G171" i="5"/>
  <c r="J171" i="6"/>
  <c r="L171" i="6" s="1"/>
  <c r="M171" i="6" s="1"/>
  <c r="W171" i="4"/>
  <c r="I170" i="5"/>
  <c r="J170" i="5"/>
  <c r="O170" i="5" s="1"/>
  <c r="X170" i="4"/>
  <c r="J170" i="6"/>
  <c r="L170" i="6" s="1"/>
  <c r="M170" i="6" s="1"/>
  <c r="W170" i="4"/>
  <c r="G170" i="5"/>
  <c r="J169" i="6"/>
  <c r="L169" i="6" s="1"/>
  <c r="M169" i="6" s="1"/>
  <c r="N169" i="6" s="1"/>
  <c r="O169" i="6" s="1"/>
  <c r="P169" i="6" s="1"/>
  <c r="W169" i="4"/>
  <c r="G169" i="5"/>
  <c r="I169" i="5"/>
  <c r="J169" i="5"/>
  <c r="O169" i="5" s="1"/>
  <c r="X169" i="4"/>
  <c r="W168" i="4"/>
  <c r="G168" i="5"/>
  <c r="J168" i="6"/>
  <c r="L168" i="6" s="1"/>
  <c r="M168" i="6" s="1"/>
  <c r="I168" i="5"/>
  <c r="J168" i="5"/>
  <c r="O168" i="5" s="1"/>
  <c r="X168" i="4"/>
  <c r="N168" i="6"/>
  <c r="O168" i="6"/>
  <c r="P168" i="6" s="1"/>
  <c r="J167" i="5"/>
  <c r="I167" i="5"/>
  <c r="X167" i="4"/>
  <c r="G167" i="5"/>
  <c r="O167" i="5"/>
  <c r="J167" i="6"/>
  <c r="L167" i="6" s="1"/>
  <c r="M167" i="6" s="1"/>
  <c r="W167" i="4"/>
  <c r="I165" i="5"/>
  <c r="X165" i="4"/>
  <c r="J165" i="5"/>
  <c r="G165" i="5"/>
  <c r="O165" i="5"/>
  <c r="J165" i="6"/>
  <c r="L165" i="6" s="1"/>
  <c r="M165" i="6" s="1"/>
  <c r="N165" i="6" s="1"/>
  <c r="O165" i="6" s="1"/>
  <c r="P165" i="6" s="1"/>
  <c r="W165" i="4"/>
  <c r="G163" i="5"/>
  <c r="J163" i="6"/>
  <c r="L163" i="6" s="1"/>
  <c r="M163" i="6" s="1"/>
  <c r="W163" i="4"/>
  <c r="I163" i="5"/>
  <c r="J163" i="5"/>
  <c r="O163" i="5" s="1"/>
  <c r="X163" i="4"/>
  <c r="N163" i="6"/>
  <c r="O163" i="6" s="1"/>
  <c r="P163" i="6" s="1"/>
  <c r="G162" i="5"/>
  <c r="J162" i="6"/>
  <c r="L162" i="6" s="1"/>
  <c r="M162" i="6" s="1"/>
  <c r="W162" i="4"/>
  <c r="I162" i="5"/>
  <c r="X162" i="4"/>
  <c r="J162" i="5"/>
  <c r="O162" i="5" s="1"/>
  <c r="N162" i="6"/>
  <c r="O162" i="6" s="1"/>
  <c r="P162" i="6" s="1"/>
  <c r="G161" i="5"/>
  <c r="J161" i="6"/>
  <c r="L161" i="6" s="1"/>
  <c r="M161" i="6" s="1"/>
  <c r="W161" i="4"/>
  <c r="J161" i="5"/>
  <c r="O161" i="5" s="1"/>
  <c r="X161" i="4"/>
  <c r="I161" i="5"/>
  <c r="N161" i="6"/>
  <c r="O161" i="6" s="1"/>
  <c r="P161" i="6" s="1"/>
  <c r="J160" i="6"/>
  <c r="L160" i="6" s="1"/>
  <c r="M160" i="6" s="1"/>
  <c r="W160" i="4"/>
  <c r="G160" i="5"/>
  <c r="J160" i="5"/>
  <c r="O160" i="5" s="1"/>
  <c r="X160" i="4"/>
  <c r="I160" i="5"/>
  <c r="N160" i="6"/>
  <c r="O160" i="6" s="1"/>
  <c r="P160" i="6" s="1"/>
  <c r="G158" i="5"/>
  <c r="J158" i="6"/>
  <c r="L158" i="6" s="1"/>
  <c r="M158" i="6" s="1"/>
  <c r="W158" i="4"/>
  <c r="I158" i="5"/>
  <c r="J158" i="5"/>
  <c r="O158" i="5" s="1"/>
  <c r="X158" i="4"/>
  <c r="N158" i="6"/>
  <c r="O158" i="6" s="1"/>
  <c r="P158" i="6" s="1"/>
  <c r="G157" i="5"/>
  <c r="J157" i="6"/>
  <c r="L157" i="6" s="1"/>
  <c r="M157" i="6" s="1"/>
  <c r="W157" i="4"/>
  <c r="I157" i="5"/>
  <c r="J157" i="5"/>
  <c r="O157" i="5" s="1"/>
  <c r="X157" i="4"/>
  <c r="N157" i="6"/>
  <c r="O157" i="6" s="1"/>
  <c r="P157" i="6" s="1"/>
  <c r="I156" i="5"/>
  <c r="J156" i="5"/>
  <c r="X156" i="4"/>
  <c r="G156" i="5"/>
  <c r="O156" i="5"/>
  <c r="J156" i="6"/>
  <c r="L156" i="6" s="1"/>
  <c r="M156" i="6" s="1"/>
  <c r="N156" i="6" s="1"/>
  <c r="O156" i="6" s="1"/>
  <c r="P156" i="6" s="1"/>
  <c r="W156" i="4"/>
  <c r="J155" i="5"/>
  <c r="X155" i="4"/>
  <c r="I155" i="5"/>
  <c r="G155" i="5"/>
  <c r="O155" i="5"/>
  <c r="J155" i="6"/>
  <c r="L155" i="6" s="1"/>
  <c r="M155" i="6" s="1"/>
  <c r="N155" i="6" s="1"/>
  <c r="O155" i="6" s="1"/>
  <c r="P155" i="6" s="1"/>
  <c r="W155" i="4"/>
  <c r="I154" i="5"/>
  <c r="J154" i="5"/>
  <c r="X154" i="4"/>
  <c r="G154" i="5"/>
  <c r="J154" i="6"/>
  <c r="L154" i="6" s="1"/>
  <c r="M154" i="6" s="1"/>
  <c r="W154" i="4"/>
  <c r="O154" i="5"/>
  <c r="N154" i="6"/>
  <c r="O154" i="6" s="1"/>
  <c r="P154" i="6" s="1"/>
  <c r="G153" i="5"/>
  <c r="J153" i="6"/>
  <c r="L153" i="6" s="1"/>
  <c r="M153" i="6" s="1"/>
  <c r="W153" i="4"/>
  <c r="J153" i="5"/>
  <c r="O153" i="5" s="1"/>
  <c r="X153" i="4"/>
  <c r="I153" i="5"/>
  <c r="N153" i="6"/>
  <c r="O153" i="6" s="1"/>
  <c r="P153" i="6" s="1"/>
  <c r="J152" i="6"/>
  <c r="L152" i="6" s="1"/>
  <c r="M152" i="6" s="1"/>
  <c r="W152" i="4"/>
  <c r="G152" i="5"/>
  <c r="J152" i="5"/>
  <c r="O152" i="5" s="1"/>
  <c r="X152" i="4"/>
  <c r="I152" i="5"/>
  <c r="N152" i="6"/>
  <c r="O152" i="6" s="1"/>
  <c r="P152" i="6" s="1"/>
  <c r="G151" i="5"/>
  <c r="J151" i="6"/>
  <c r="L151" i="6" s="1"/>
  <c r="M151" i="6" s="1"/>
  <c r="W151" i="4"/>
  <c r="J151" i="5"/>
  <c r="O151" i="5" s="1"/>
  <c r="I151" i="5"/>
  <c r="X151" i="4"/>
  <c r="N151" i="6"/>
  <c r="O151" i="6"/>
  <c r="P151" i="6" s="1"/>
  <c r="I150" i="5"/>
  <c r="J150" i="5"/>
  <c r="O150" i="5" s="1"/>
  <c r="X150" i="4"/>
  <c r="G150" i="5"/>
  <c r="J150" i="6"/>
  <c r="L150" i="6" s="1"/>
  <c r="M150" i="6" s="1"/>
  <c r="W150" i="4"/>
  <c r="N150" i="6"/>
  <c r="O150" i="6"/>
  <c r="P150" i="6" s="1"/>
  <c r="J149" i="5"/>
  <c r="X149" i="4"/>
  <c r="I149" i="5"/>
  <c r="G149" i="5"/>
  <c r="O149" i="5"/>
  <c r="J149" i="6"/>
  <c r="L149" i="6" s="1"/>
  <c r="M149" i="6" s="1"/>
  <c r="W149" i="4"/>
  <c r="N149" i="6"/>
  <c r="O149" i="6"/>
  <c r="P149" i="6" s="1"/>
  <c r="I148" i="5"/>
  <c r="J148" i="5"/>
  <c r="X148" i="4"/>
  <c r="G148" i="5"/>
  <c r="O148" i="5"/>
  <c r="J148" i="6"/>
  <c r="L148" i="6" s="1"/>
  <c r="M148" i="6" s="1"/>
  <c r="W148" i="4"/>
  <c r="N148" i="6"/>
  <c r="O148" i="6"/>
  <c r="P148" i="6" s="1"/>
  <c r="I147" i="5"/>
  <c r="X147" i="4"/>
  <c r="J147" i="5"/>
  <c r="G147" i="5"/>
  <c r="J147" i="6"/>
  <c r="L147" i="6" s="1"/>
  <c r="M147" i="6" s="1"/>
  <c r="W147" i="4"/>
  <c r="O147" i="5"/>
  <c r="N147" i="6"/>
  <c r="O147" i="6"/>
  <c r="P147" i="6" s="1"/>
  <c r="I146" i="5"/>
  <c r="X146" i="4"/>
  <c r="J146" i="5"/>
  <c r="G146" i="5"/>
  <c r="O146" i="5"/>
  <c r="J146" i="6"/>
  <c r="L146" i="6" s="1"/>
  <c r="M146" i="6" s="1"/>
  <c r="W146" i="4"/>
  <c r="N146" i="6"/>
  <c r="O146" i="6"/>
  <c r="P146" i="6" s="1"/>
  <c r="J145" i="6"/>
  <c r="L145" i="6" s="1"/>
  <c r="M145" i="6" s="1"/>
  <c r="W145" i="4"/>
  <c r="G145" i="5"/>
  <c r="I145" i="5"/>
  <c r="J145" i="5"/>
  <c r="O145" i="5" s="1"/>
  <c r="X145" i="4"/>
  <c r="N145" i="6"/>
  <c r="O145" i="6"/>
  <c r="P145" i="6" s="1"/>
  <c r="G143" i="5"/>
  <c r="J143" i="6"/>
  <c r="L143" i="6" s="1"/>
  <c r="M143" i="6" s="1"/>
  <c r="W143" i="4"/>
  <c r="I143" i="5"/>
  <c r="J143" i="5"/>
  <c r="O143" i="5" s="1"/>
  <c r="X143" i="4"/>
  <c r="N143" i="6"/>
  <c r="O143" i="6"/>
  <c r="P143" i="6" s="1"/>
  <c r="G142" i="5"/>
  <c r="J142" i="6"/>
  <c r="L142" i="6" s="1"/>
  <c r="M142" i="6" s="1"/>
  <c r="W142" i="4"/>
  <c r="I142" i="5"/>
  <c r="X142" i="4"/>
  <c r="J142" i="5"/>
  <c r="O142" i="5" s="1"/>
  <c r="N142" i="6"/>
  <c r="O142" i="6"/>
  <c r="P142" i="6" s="1"/>
  <c r="I141" i="5"/>
  <c r="J141" i="5"/>
  <c r="X141" i="4"/>
  <c r="G141" i="5"/>
  <c r="O141" i="5"/>
  <c r="J141" i="6"/>
  <c r="L141" i="6" s="1"/>
  <c r="M141" i="6" s="1"/>
  <c r="W141" i="4"/>
  <c r="N141" i="6"/>
  <c r="O141" i="6"/>
  <c r="P141" i="6" s="1"/>
  <c r="G140" i="5"/>
  <c r="J140" i="6"/>
  <c r="L140" i="6" s="1"/>
  <c r="M140" i="6" s="1"/>
  <c r="W140" i="4"/>
  <c r="J140" i="5"/>
  <c r="O140" i="5" s="1"/>
  <c r="I140" i="5"/>
  <c r="X140" i="4"/>
  <c r="N140" i="6"/>
  <c r="O140" i="6"/>
  <c r="P140" i="6" s="1"/>
  <c r="J139" i="5"/>
  <c r="I139" i="5"/>
  <c r="X139" i="4"/>
  <c r="O139" i="5"/>
  <c r="G139" i="5"/>
  <c r="J139" i="6"/>
  <c r="L139" i="6" s="1"/>
  <c r="M139" i="6" s="1"/>
  <c r="W139" i="4"/>
  <c r="J138" i="5"/>
  <c r="X138" i="4"/>
  <c r="I138" i="5"/>
  <c r="G138" i="5"/>
  <c r="O138" i="5"/>
  <c r="J138" i="6"/>
  <c r="L138" i="6" s="1"/>
  <c r="M138" i="6" s="1"/>
  <c r="W138" i="4"/>
  <c r="I136" i="5"/>
  <c r="J136" i="5"/>
  <c r="O136" i="5" s="1"/>
  <c r="X136" i="4"/>
  <c r="G136" i="5"/>
  <c r="J136" i="6"/>
  <c r="L136" i="6" s="1"/>
  <c r="M136" i="6" s="1"/>
  <c r="W136" i="4"/>
  <c r="J135" i="6"/>
  <c r="L135" i="6" s="1"/>
  <c r="M135" i="6" s="1"/>
  <c r="W135" i="4"/>
  <c r="G135" i="5"/>
  <c r="I135" i="5"/>
  <c r="X135" i="4"/>
  <c r="J135" i="5"/>
  <c r="O135" i="5" s="1"/>
  <c r="N135" i="6"/>
  <c r="O135" i="6" s="1"/>
  <c r="P135" i="6" s="1"/>
  <c r="I131" i="5"/>
  <c r="J131" i="5"/>
  <c r="X131" i="4"/>
  <c r="O131" i="5"/>
  <c r="G131" i="5"/>
  <c r="J131" i="6"/>
  <c r="L131" i="6" s="1"/>
  <c r="M131" i="6" s="1"/>
  <c r="W131" i="4"/>
  <c r="G129" i="5"/>
  <c r="J129" i="6"/>
  <c r="L129" i="6" s="1"/>
  <c r="M129" i="6" s="1"/>
  <c r="N129" i="6" s="1"/>
  <c r="O129" i="6" s="1"/>
  <c r="P129" i="6" s="1"/>
  <c r="W129" i="4"/>
  <c r="J129" i="5"/>
  <c r="O129" i="5" s="1"/>
  <c r="X129" i="4"/>
  <c r="I129" i="5"/>
  <c r="J128" i="5"/>
  <c r="O128" i="5" s="1"/>
  <c r="I128" i="5"/>
  <c r="X128" i="4"/>
  <c r="G128" i="5"/>
  <c r="J128" i="6"/>
  <c r="L128" i="6" s="1"/>
  <c r="M128" i="6" s="1"/>
  <c r="W128" i="4"/>
  <c r="N128" i="6"/>
  <c r="O128" i="6"/>
  <c r="P128" i="6" s="1"/>
  <c r="J127" i="6"/>
  <c r="L127" i="6" s="1"/>
  <c r="M127" i="6" s="1"/>
  <c r="W127" i="4"/>
  <c r="G127" i="5"/>
  <c r="J127" i="5"/>
  <c r="O127" i="5" s="1"/>
  <c r="X127" i="4"/>
  <c r="I127" i="5"/>
  <c r="N127" i="6"/>
  <c r="O127" i="6"/>
  <c r="P127" i="6" s="1"/>
  <c r="J125" i="5"/>
  <c r="X125" i="4"/>
  <c r="I125" i="5"/>
  <c r="O125" i="5"/>
  <c r="J125" i="6"/>
  <c r="L125" i="6" s="1"/>
  <c r="M125" i="6" s="1"/>
  <c r="W125" i="4"/>
  <c r="G125" i="5"/>
  <c r="N125" i="6"/>
  <c r="O125" i="6"/>
  <c r="P125" i="6" s="1"/>
  <c r="G124" i="5"/>
  <c r="J124" i="6"/>
  <c r="L124" i="6" s="1"/>
  <c r="M124" i="6" s="1"/>
  <c r="W124" i="4"/>
  <c r="I124" i="5"/>
  <c r="J124" i="5"/>
  <c r="O124" i="5" s="1"/>
  <c r="X124" i="4"/>
  <c r="N124" i="6"/>
  <c r="O124" i="6"/>
  <c r="P124" i="6" s="1"/>
  <c r="I123" i="5"/>
  <c r="X123" i="4"/>
  <c r="J123" i="5"/>
  <c r="J123" i="6"/>
  <c r="L123" i="6" s="1"/>
  <c r="M123" i="6" s="1"/>
  <c r="W123" i="4"/>
  <c r="G123" i="5"/>
  <c r="O123" i="5"/>
  <c r="N123" i="6"/>
  <c r="O123" i="6"/>
  <c r="P123" i="6" s="1"/>
  <c r="J120" i="6"/>
  <c r="L120" i="6" s="1"/>
  <c r="M120" i="6" s="1"/>
  <c r="W120" i="4"/>
  <c r="G120" i="5"/>
  <c r="J120" i="5"/>
  <c r="O120" i="5" s="1"/>
  <c r="X120" i="4"/>
  <c r="I120" i="5"/>
  <c r="N120" i="6"/>
  <c r="O120" i="6"/>
  <c r="P120" i="6" s="1"/>
  <c r="I116" i="5"/>
  <c r="J116" i="5"/>
  <c r="X116" i="4"/>
  <c r="O116" i="5"/>
  <c r="G116" i="5"/>
  <c r="J116" i="6"/>
  <c r="L116" i="6" s="1"/>
  <c r="M116" i="6" s="1"/>
  <c r="W116" i="4"/>
  <c r="N116" i="6"/>
  <c r="O116" i="6"/>
  <c r="P116" i="6" s="1"/>
  <c r="W112" i="4"/>
  <c r="G112" i="5"/>
  <c r="J112" i="6"/>
  <c r="L112" i="6" s="1"/>
  <c r="M112" i="6" s="1"/>
  <c r="X112" i="4"/>
  <c r="J112" i="5"/>
  <c r="O112" i="5" s="1"/>
  <c r="I112" i="5"/>
  <c r="N112" i="6"/>
  <c r="O112" i="6" s="1"/>
  <c r="P112" i="6" s="1"/>
  <c r="J111" i="5"/>
  <c r="X111" i="4"/>
  <c r="I111" i="5"/>
  <c r="G111" i="5"/>
  <c r="J111" i="6"/>
  <c r="L111" i="6" s="1"/>
  <c r="M111" i="6" s="1"/>
  <c r="O111" i="5"/>
  <c r="W111" i="4"/>
  <c r="J109" i="6"/>
  <c r="L109" i="6" s="1"/>
  <c r="M109" i="6" s="1"/>
  <c r="W109" i="4"/>
  <c r="G109" i="5"/>
  <c r="J109" i="5"/>
  <c r="O109" i="5" s="1"/>
  <c r="X109" i="4"/>
  <c r="I109" i="5"/>
  <c r="I108" i="5"/>
  <c r="X108" i="4"/>
  <c r="J108" i="5"/>
  <c r="O108" i="5" s="1"/>
  <c r="W108" i="4"/>
  <c r="G108" i="5"/>
  <c r="J108" i="6"/>
  <c r="L108" i="6" s="1"/>
  <c r="M108" i="6" s="1"/>
  <c r="J107" i="6"/>
  <c r="L107" i="6" s="1"/>
  <c r="M107" i="6" s="1"/>
  <c r="G107" i="5"/>
  <c r="W107" i="4"/>
  <c r="I107" i="5"/>
  <c r="X107" i="4"/>
  <c r="J107" i="5"/>
  <c r="O107" i="5" s="1"/>
  <c r="N107" i="6"/>
  <c r="O107" i="6" s="1"/>
  <c r="P107" i="6" s="1"/>
  <c r="G105" i="5"/>
  <c r="J105" i="6"/>
  <c r="L105" i="6" s="1"/>
  <c r="M105" i="6" s="1"/>
  <c r="W105" i="4"/>
  <c r="I105" i="5"/>
  <c r="J105" i="5"/>
  <c r="O105" i="5" s="1"/>
  <c r="X105" i="4"/>
  <c r="W104" i="4"/>
  <c r="G104" i="5"/>
  <c r="J104" i="6"/>
  <c r="L104" i="6" s="1"/>
  <c r="M104" i="6" s="1"/>
  <c r="J104" i="5"/>
  <c r="O104" i="5" s="1"/>
  <c r="X104" i="4"/>
  <c r="I104" i="5"/>
  <c r="W103" i="4"/>
  <c r="G103" i="5"/>
  <c r="J103" i="6"/>
  <c r="L103" i="6" s="1"/>
  <c r="M103" i="6" s="1"/>
  <c r="X103" i="4"/>
  <c r="J103" i="5"/>
  <c r="O103" i="5" s="1"/>
  <c r="I103" i="5"/>
  <c r="I102" i="5"/>
  <c r="X102" i="4"/>
  <c r="J102" i="5"/>
  <c r="O102" i="5" s="1"/>
  <c r="W102" i="4"/>
  <c r="G102" i="5"/>
  <c r="J102" i="6"/>
  <c r="L102" i="6" s="1"/>
  <c r="M102" i="6" s="1"/>
  <c r="N102" i="6"/>
  <c r="O102" i="6"/>
  <c r="P102" i="6" s="1"/>
  <c r="W99" i="4"/>
  <c r="G99" i="5"/>
  <c r="J99" i="6"/>
  <c r="L99" i="6" s="1"/>
  <c r="M99" i="6" s="1"/>
  <c r="X99" i="4"/>
  <c r="J99" i="5"/>
  <c r="O99" i="5" s="1"/>
  <c r="I99" i="5"/>
  <c r="N99" i="6"/>
  <c r="O99" i="6"/>
  <c r="P99" i="6" s="1"/>
  <c r="W98" i="4"/>
  <c r="G98" i="5"/>
  <c r="J98" i="6"/>
  <c r="L98" i="6" s="1"/>
  <c r="M98" i="6" s="1"/>
  <c r="I98" i="5"/>
  <c r="J98" i="5"/>
  <c r="O98" i="5" s="1"/>
  <c r="X98" i="4"/>
  <c r="J97" i="5"/>
  <c r="I97" i="5"/>
  <c r="X97" i="4"/>
  <c r="O97" i="5"/>
  <c r="W97" i="4"/>
  <c r="G97" i="5"/>
  <c r="J97" i="6"/>
  <c r="L97" i="6" s="1"/>
  <c r="M97" i="6" s="1"/>
  <c r="N97" i="6"/>
  <c r="O97" i="6"/>
  <c r="P97" i="6" s="1"/>
  <c r="J93" i="5"/>
  <c r="X93" i="4"/>
  <c r="I93" i="5"/>
  <c r="J93" i="6"/>
  <c r="L93" i="6" s="1"/>
  <c r="M93" i="6" s="1"/>
  <c r="O93" i="5"/>
  <c r="W93" i="4"/>
  <c r="G93" i="5"/>
  <c r="N93" i="6"/>
  <c r="O93" i="6"/>
  <c r="P93" i="6" s="1"/>
  <c r="I91" i="5"/>
  <c r="X91" i="4"/>
  <c r="J91" i="5"/>
  <c r="J91" i="6"/>
  <c r="L91" i="6" s="1"/>
  <c r="M91" i="6" s="1"/>
  <c r="O91" i="5"/>
  <c r="W91" i="4"/>
  <c r="G91" i="5"/>
  <c r="J89" i="6"/>
  <c r="L89" i="6" s="1"/>
  <c r="M89" i="6" s="1"/>
  <c r="G89" i="5"/>
  <c r="W89" i="4"/>
  <c r="I89" i="5"/>
  <c r="X89" i="4"/>
  <c r="J89" i="5"/>
  <c r="O89" i="5" s="1"/>
  <c r="G87" i="5"/>
  <c r="J87" i="6"/>
  <c r="L87" i="6" s="1"/>
  <c r="M87" i="6" s="1"/>
  <c r="W87" i="4"/>
  <c r="J87" i="5"/>
  <c r="O87" i="5" s="1"/>
  <c r="I87" i="5"/>
  <c r="X87" i="4"/>
  <c r="N87" i="6"/>
  <c r="O87" i="6"/>
  <c r="P87" i="6" s="1"/>
  <c r="J83" i="5"/>
  <c r="X83" i="4"/>
  <c r="I83" i="5"/>
  <c r="O83" i="5"/>
  <c r="J83" i="6"/>
  <c r="L83" i="6" s="1"/>
  <c r="M83" i="6" s="1"/>
  <c r="W83" i="4"/>
  <c r="G83" i="5"/>
  <c r="N83" i="6"/>
  <c r="O83" i="6"/>
  <c r="P83" i="6" s="1"/>
  <c r="G82" i="5"/>
  <c r="J82" i="6"/>
  <c r="L82" i="6" s="1"/>
  <c r="M82" i="6" s="1"/>
  <c r="W82" i="4"/>
  <c r="I82" i="5"/>
  <c r="X82" i="4"/>
  <c r="J82" i="5"/>
  <c r="O82" i="5" s="1"/>
  <c r="N82" i="6"/>
  <c r="O82" i="6"/>
  <c r="P82" i="6" s="1"/>
  <c r="J81" i="6"/>
  <c r="L81" i="6" s="1"/>
  <c r="M81" i="6" s="1"/>
  <c r="W81" i="4"/>
  <c r="G81" i="5"/>
  <c r="X81" i="4"/>
  <c r="J81" i="5"/>
  <c r="O81" i="5" s="1"/>
  <c r="I81" i="5"/>
  <c r="N81" i="6"/>
  <c r="O81" i="6"/>
  <c r="P81" i="6" s="1"/>
  <c r="G80" i="5"/>
  <c r="J80" i="6"/>
  <c r="L80" i="6" s="1"/>
  <c r="M80" i="6" s="1"/>
  <c r="W80" i="4"/>
  <c r="J80" i="5"/>
  <c r="O80" i="5" s="1"/>
  <c r="I80" i="5"/>
  <c r="X80" i="4"/>
  <c r="N80" i="6"/>
  <c r="O80" i="6"/>
  <c r="P80" i="6" s="1"/>
  <c r="G79" i="5"/>
  <c r="J79" i="6"/>
  <c r="L79" i="6" s="1"/>
  <c r="M79" i="6" s="1"/>
  <c r="W79" i="4"/>
  <c r="J79" i="5"/>
  <c r="O79" i="5" s="1"/>
  <c r="I79" i="5"/>
  <c r="X79" i="4"/>
  <c r="N79" i="6"/>
  <c r="O79" i="6"/>
  <c r="P79" i="6" s="1"/>
  <c r="G76" i="5"/>
  <c r="J76" i="6"/>
  <c r="L76" i="6" s="1"/>
  <c r="M76" i="6" s="1"/>
  <c r="W76" i="4"/>
  <c r="I76" i="5"/>
  <c r="J76" i="5"/>
  <c r="O76" i="5" s="1"/>
  <c r="X76" i="4"/>
  <c r="N76" i="6"/>
  <c r="O76" i="6"/>
  <c r="P76" i="6" s="1"/>
  <c r="J73" i="6"/>
  <c r="L73" i="6" s="1"/>
  <c r="M73" i="6" s="1"/>
  <c r="W73" i="4"/>
  <c r="G73" i="5"/>
  <c r="X73" i="4"/>
  <c r="J73" i="5"/>
  <c r="O73" i="5" s="1"/>
  <c r="I73" i="5"/>
  <c r="N73" i="6"/>
  <c r="O73" i="6" s="1"/>
  <c r="P73" i="6" s="1"/>
  <c r="J69" i="5"/>
  <c r="X69" i="4"/>
  <c r="I69" i="5"/>
  <c r="J69" i="6"/>
  <c r="L69" i="6" s="1"/>
  <c r="M69" i="6" s="1"/>
  <c r="W69" i="4"/>
  <c r="G69" i="5"/>
  <c r="O69" i="5"/>
  <c r="N69" i="6"/>
  <c r="O69" i="6" s="1"/>
  <c r="P69" i="6" s="1"/>
  <c r="J68" i="5"/>
  <c r="I68" i="5"/>
  <c r="X68" i="4"/>
  <c r="G68" i="5"/>
  <c r="J68" i="6"/>
  <c r="L68" i="6" s="1"/>
  <c r="M68" i="6" s="1"/>
  <c r="W68" i="4"/>
  <c r="O68" i="5"/>
  <c r="N68" i="6"/>
  <c r="O68" i="6"/>
  <c r="P68" i="6" s="1"/>
  <c r="G61" i="5"/>
  <c r="J61" i="6"/>
  <c r="L61" i="6" s="1"/>
  <c r="M61" i="6" s="1"/>
  <c r="W61" i="4"/>
  <c r="I61" i="5"/>
  <c r="X61" i="4"/>
  <c r="J61" i="5"/>
  <c r="O61" i="5" s="1"/>
  <c r="N61" i="6"/>
  <c r="O61" i="6"/>
  <c r="P61" i="6" s="1"/>
  <c r="I60" i="5"/>
  <c r="X60" i="4"/>
  <c r="J60" i="5"/>
  <c r="G60" i="5"/>
  <c r="O60" i="5"/>
  <c r="J60" i="6"/>
  <c r="L60" i="6" s="1"/>
  <c r="M60" i="6" s="1"/>
  <c r="W60" i="4"/>
  <c r="N60" i="6"/>
  <c r="O60" i="6"/>
  <c r="P60" i="6" s="1"/>
  <c r="J58" i="5"/>
  <c r="I58" i="5"/>
  <c r="X58" i="4"/>
  <c r="J58" i="6"/>
  <c r="L58" i="6" s="1"/>
  <c r="M58" i="6" s="1"/>
  <c r="N58" i="6" s="1"/>
  <c r="O58" i="6" s="1"/>
  <c r="P58" i="6" s="1"/>
  <c r="W58" i="4"/>
  <c r="O58" i="5"/>
  <c r="G58" i="5"/>
  <c r="I57" i="5"/>
  <c r="J57" i="5"/>
  <c r="X57" i="4"/>
  <c r="G57" i="5"/>
  <c r="J57" i="6"/>
  <c r="L57" i="6" s="1"/>
  <c r="M57" i="6" s="1"/>
  <c r="N57" i="6" s="1"/>
  <c r="O57" i="6" s="1"/>
  <c r="P57" i="6" s="1"/>
  <c r="W57" i="4"/>
  <c r="O57" i="5"/>
  <c r="G55" i="5"/>
  <c r="J55" i="6"/>
  <c r="L55" i="6" s="1"/>
  <c r="M55" i="6" s="1"/>
  <c r="W55" i="4"/>
  <c r="X55" i="4"/>
  <c r="I55" i="5"/>
  <c r="J55" i="5"/>
  <c r="O55" i="5" s="1"/>
  <c r="X54" i="4"/>
  <c r="I54" i="5"/>
  <c r="J54" i="5"/>
  <c r="O54" i="5" s="1"/>
  <c r="G54" i="5"/>
  <c r="J54" i="6"/>
  <c r="L54" i="6" s="1"/>
  <c r="M54" i="6" s="1"/>
  <c r="W54" i="4"/>
  <c r="G51" i="5"/>
  <c r="J51" i="6"/>
  <c r="L51" i="6" s="1"/>
  <c r="M51" i="6" s="1"/>
  <c r="W51" i="4"/>
  <c r="J51" i="5"/>
  <c r="O51" i="5" s="1"/>
  <c r="I51" i="5"/>
  <c r="X51" i="4"/>
  <c r="J50" i="5"/>
  <c r="X50" i="4"/>
  <c r="I50" i="5"/>
  <c r="W50" i="4"/>
  <c r="O50" i="5"/>
  <c r="G50" i="5"/>
  <c r="J50" i="6"/>
  <c r="L50" i="6" s="1"/>
  <c r="M50" i="6" s="1"/>
  <c r="G49" i="5"/>
  <c r="J49" i="6"/>
  <c r="L49" i="6" s="1"/>
  <c r="M49" i="6" s="1"/>
  <c r="W49" i="4"/>
  <c r="I49" i="5"/>
  <c r="J49" i="5"/>
  <c r="O49" i="5" s="1"/>
  <c r="X49" i="4"/>
  <c r="N49" i="6"/>
  <c r="O49" i="6" s="1"/>
  <c r="P49" i="6" s="1"/>
  <c r="G48" i="5"/>
  <c r="J48" i="6"/>
  <c r="L48" i="6" s="1"/>
  <c r="M48" i="6" s="1"/>
  <c r="W48" i="4"/>
  <c r="X48" i="4"/>
  <c r="J48" i="5"/>
  <c r="O48" i="5" s="1"/>
  <c r="I48" i="5"/>
  <c r="N48" i="6"/>
  <c r="O48" i="6" s="1"/>
  <c r="P48" i="6" s="1"/>
  <c r="G47" i="5"/>
  <c r="J47" i="6"/>
  <c r="L47" i="6" s="1"/>
  <c r="M47" i="6" s="1"/>
  <c r="W47" i="4"/>
  <c r="I47" i="5"/>
  <c r="J47" i="5"/>
  <c r="O47" i="5" s="1"/>
  <c r="X47" i="4"/>
  <c r="G46" i="5"/>
  <c r="J46" i="6"/>
  <c r="L46" i="6" s="1"/>
  <c r="M46" i="6" s="1"/>
  <c r="N46" i="6" s="1"/>
  <c r="O46" i="6" s="1"/>
  <c r="P46" i="6" s="1"/>
  <c r="W46" i="4"/>
  <c r="I46" i="5"/>
  <c r="J46" i="5"/>
  <c r="O46" i="5" s="1"/>
  <c r="X46" i="4"/>
  <c r="G43" i="5"/>
  <c r="J43" i="6"/>
  <c r="L43" i="6" s="1"/>
  <c r="M43" i="6" s="1"/>
  <c r="W43" i="4"/>
  <c r="I43" i="5"/>
  <c r="J43" i="5"/>
  <c r="O43" i="5" s="1"/>
  <c r="X43" i="4"/>
  <c r="N43" i="6"/>
  <c r="O43" i="6" s="1"/>
  <c r="P43" i="6" s="1"/>
  <c r="G42" i="5"/>
  <c r="J42" i="6"/>
  <c r="L42" i="6" s="1"/>
  <c r="M42" i="6" s="1"/>
  <c r="W42" i="4"/>
  <c r="I42" i="5"/>
  <c r="J42" i="5"/>
  <c r="O42" i="5" s="1"/>
  <c r="X42" i="4"/>
  <c r="G41" i="5"/>
  <c r="J41" i="6"/>
  <c r="L41" i="6" s="1"/>
  <c r="M41" i="6" s="1"/>
  <c r="W41" i="4"/>
  <c r="I41" i="5"/>
  <c r="J41" i="5"/>
  <c r="O41" i="5" s="1"/>
  <c r="X41" i="4"/>
  <c r="G40" i="5"/>
  <c r="J40" i="6"/>
  <c r="L40" i="6" s="1"/>
  <c r="M40" i="6" s="1"/>
  <c r="N40" i="6" s="1"/>
  <c r="O40" i="6" s="1"/>
  <c r="P40" i="6" s="1"/>
  <c r="W40" i="4"/>
  <c r="I40" i="5"/>
  <c r="J40" i="5"/>
  <c r="O40" i="5" s="1"/>
  <c r="X40" i="4"/>
  <c r="G39" i="5"/>
  <c r="J39" i="6"/>
  <c r="L39" i="6" s="1"/>
  <c r="M39" i="6" s="1"/>
  <c r="N39" i="6" s="1"/>
  <c r="O39" i="6" s="1"/>
  <c r="P39" i="6" s="1"/>
  <c r="W39" i="4"/>
  <c r="I39" i="5"/>
  <c r="J39" i="5"/>
  <c r="O39" i="5" s="1"/>
  <c r="X39" i="4"/>
  <c r="G37" i="5"/>
  <c r="J37" i="6"/>
  <c r="L37" i="6" s="1"/>
  <c r="M37" i="6" s="1"/>
  <c r="N37" i="6" s="1"/>
  <c r="O37" i="6" s="1"/>
  <c r="P37" i="6" s="1"/>
  <c r="W37" i="4"/>
  <c r="I37" i="5"/>
  <c r="J37" i="5"/>
  <c r="O37" i="5" s="1"/>
  <c r="X37" i="4"/>
  <c r="G36" i="5"/>
  <c r="J36" i="6"/>
  <c r="L36" i="6" s="1"/>
  <c r="M36" i="6" s="1"/>
  <c r="N36" i="6" s="1"/>
  <c r="W36" i="4"/>
  <c r="I36" i="5"/>
  <c r="J36" i="5"/>
  <c r="O36" i="5" s="1"/>
  <c r="X36" i="4"/>
  <c r="G35" i="5"/>
  <c r="J35" i="6"/>
  <c r="L35" i="6" s="1"/>
  <c r="M35" i="6" s="1"/>
  <c r="W35" i="4"/>
  <c r="I35" i="5"/>
  <c r="J35" i="5"/>
  <c r="O35" i="5" s="1"/>
  <c r="X35" i="4"/>
  <c r="G34" i="5"/>
  <c r="J34" i="6"/>
  <c r="L34" i="6" s="1"/>
  <c r="M34" i="6" s="1"/>
  <c r="N34" i="6" s="1"/>
  <c r="O34" i="6" s="1"/>
  <c r="P34" i="6" s="1"/>
  <c r="W34" i="4"/>
  <c r="I34" i="5"/>
  <c r="J34" i="5"/>
  <c r="O34" i="5" s="1"/>
  <c r="X34" i="4"/>
  <c r="G33" i="5"/>
  <c r="J33" i="6"/>
  <c r="L33" i="6" s="1"/>
  <c r="M33" i="6" s="1"/>
  <c r="W33" i="4"/>
  <c r="I33" i="5"/>
  <c r="J33" i="5"/>
  <c r="O33" i="5" s="1"/>
  <c r="X33" i="4"/>
  <c r="G32" i="5"/>
  <c r="J32" i="6"/>
  <c r="L32" i="6" s="1"/>
  <c r="M32" i="6" s="1"/>
  <c r="W32" i="4"/>
  <c r="I32" i="5"/>
  <c r="J32" i="5"/>
  <c r="O32" i="5" s="1"/>
  <c r="X32" i="4"/>
  <c r="G31" i="5"/>
  <c r="J31" i="6"/>
  <c r="L31" i="6" s="1"/>
  <c r="M31" i="6" s="1"/>
  <c r="N31" i="6" s="1"/>
  <c r="O31" i="6" s="1"/>
  <c r="P31" i="6" s="1"/>
  <c r="W31" i="4"/>
  <c r="I31" i="5"/>
  <c r="J31" i="5"/>
  <c r="O31" i="5" s="1"/>
  <c r="X31" i="4"/>
  <c r="G29" i="5"/>
  <c r="J29" i="6"/>
  <c r="L29" i="6" s="1"/>
  <c r="M29" i="6" s="1"/>
  <c r="N29" i="6" s="1"/>
  <c r="O29" i="6" s="1"/>
  <c r="P29" i="6" s="1"/>
  <c r="W29" i="4"/>
  <c r="I29" i="5"/>
  <c r="J29" i="5"/>
  <c r="O29" i="5" s="1"/>
  <c r="X29" i="4"/>
  <c r="G28" i="5"/>
  <c r="J28" i="6"/>
  <c r="L28" i="6" s="1"/>
  <c r="M28" i="6" s="1"/>
  <c r="W28" i="4"/>
  <c r="I28" i="5"/>
  <c r="J28" i="5"/>
  <c r="O28" i="5" s="1"/>
  <c r="X28" i="4"/>
  <c r="G25" i="5"/>
  <c r="J25" i="6"/>
  <c r="L25" i="6" s="1"/>
  <c r="M25" i="6" s="1"/>
  <c r="N25" i="6" s="1"/>
  <c r="O25" i="6" s="1"/>
  <c r="P25" i="6" s="1"/>
  <c r="W25" i="4"/>
  <c r="I25" i="5"/>
  <c r="J25" i="5"/>
  <c r="O25" i="5" s="1"/>
  <c r="X25" i="4"/>
  <c r="G21" i="5"/>
  <c r="J21" i="6"/>
  <c r="L21" i="6" s="1"/>
  <c r="M21" i="6" s="1"/>
  <c r="W21" i="4"/>
  <c r="I21" i="5"/>
  <c r="J21" i="5"/>
  <c r="O21" i="5" s="1"/>
  <c r="X21" i="4"/>
  <c r="G19" i="5"/>
  <c r="J19" i="6"/>
  <c r="L19" i="6" s="1"/>
  <c r="M19" i="6" s="1"/>
  <c r="W19" i="4"/>
  <c r="I19" i="5"/>
  <c r="J19" i="5"/>
  <c r="O19" i="5" s="1"/>
  <c r="X19" i="4"/>
  <c r="G18" i="5"/>
  <c r="J18" i="6"/>
  <c r="L18" i="6" s="1"/>
  <c r="M18" i="6" s="1"/>
  <c r="W18" i="4"/>
  <c r="I18" i="5"/>
  <c r="J18" i="5"/>
  <c r="O18" i="5" s="1"/>
  <c r="X18" i="4"/>
  <c r="G17" i="5"/>
  <c r="J17" i="6"/>
  <c r="L17" i="6" s="1"/>
  <c r="M17" i="6" s="1"/>
  <c r="N17" i="6" s="1"/>
  <c r="O17" i="6" s="1"/>
  <c r="P17" i="6" s="1"/>
  <c r="W17" i="4"/>
  <c r="I17" i="5"/>
  <c r="J17" i="5"/>
  <c r="O17" i="5" s="1"/>
  <c r="X17" i="4"/>
  <c r="G16" i="5"/>
  <c r="J16" i="6"/>
  <c r="L16" i="6" s="1"/>
  <c r="M16" i="6" s="1"/>
  <c r="W16" i="4"/>
  <c r="I16" i="5"/>
  <c r="J16" i="5"/>
  <c r="O16" i="5" s="1"/>
  <c r="X16" i="4"/>
  <c r="N16" i="6"/>
  <c r="O16" i="6"/>
  <c r="P16" i="6" s="1"/>
  <c r="G15" i="5"/>
  <c r="J15" i="6"/>
  <c r="L15" i="6" s="1"/>
  <c r="M15" i="6" s="1"/>
  <c r="W15" i="4"/>
  <c r="I15" i="5"/>
  <c r="J15" i="5"/>
  <c r="O15" i="5" s="1"/>
  <c r="X15" i="4"/>
  <c r="N15" i="6"/>
  <c r="O15" i="6"/>
  <c r="P15" i="6" s="1"/>
  <c r="G14" i="5"/>
  <c r="J14" i="6"/>
  <c r="L14" i="6" s="1"/>
  <c r="M14" i="6" s="1"/>
  <c r="W14" i="4"/>
  <c r="I14" i="5"/>
  <c r="J14" i="5"/>
  <c r="O14" i="5" s="1"/>
  <c r="X14" i="4"/>
  <c r="N14" i="6"/>
  <c r="O14" i="6"/>
  <c r="P14" i="6" s="1"/>
  <c r="G13" i="5"/>
  <c r="J13" i="6"/>
  <c r="L13" i="6" s="1"/>
  <c r="M13" i="6" s="1"/>
  <c r="W13" i="4"/>
  <c r="I13" i="5"/>
  <c r="J13" i="5"/>
  <c r="O13" i="5" s="1"/>
  <c r="X13" i="4"/>
  <c r="N13" i="6"/>
  <c r="O13" i="6"/>
  <c r="P13" i="6" s="1"/>
  <c r="G12" i="5"/>
  <c r="J12" i="6"/>
  <c r="L12" i="6" s="1"/>
  <c r="M12" i="6" s="1"/>
  <c r="W12" i="4"/>
  <c r="I12" i="5"/>
  <c r="J12" i="5"/>
  <c r="O12" i="5" s="1"/>
  <c r="X12" i="4"/>
  <c r="N12" i="6"/>
  <c r="O12" i="6"/>
  <c r="P12" i="6" s="1"/>
  <c r="F11" i="5"/>
  <c r="H11" i="5"/>
  <c r="L11" i="5"/>
  <c r="Z11" i="4" s="1"/>
  <c r="F14" i="7" s="1"/>
  <c r="M11" i="5"/>
  <c r="N11" i="5"/>
  <c r="K11" i="6"/>
  <c r="G11" i="6"/>
  <c r="H11" i="6"/>
  <c r="G10" i="5"/>
  <c r="J10" i="6"/>
  <c r="L10" i="6" s="1"/>
  <c r="M10" i="6" s="1"/>
  <c r="W10" i="4"/>
  <c r="I10" i="5"/>
  <c r="J10" i="5"/>
  <c r="O10" i="5" s="1"/>
  <c r="X10" i="4"/>
  <c r="N10" i="6"/>
  <c r="O10" i="6"/>
  <c r="P10" i="6" s="1"/>
  <c r="G8" i="5"/>
  <c r="J8" i="6"/>
  <c r="L8" i="6" s="1"/>
  <c r="M8" i="6" s="1"/>
  <c r="W8" i="4"/>
  <c r="I8" i="5"/>
  <c r="J8" i="5"/>
  <c r="O8" i="5" s="1"/>
  <c r="X8" i="4"/>
  <c r="N8" i="6"/>
  <c r="O8" i="6"/>
  <c r="P8" i="6" s="1"/>
  <c r="G7" i="5"/>
  <c r="J7" i="6"/>
  <c r="L7" i="6" s="1"/>
  <c r="M7" i="6" s="1"/>
  <c r="W7" i="4"/>
  <c r="I7" i="5"/>
  <c r="J7" i="5"/>
  <c r="O7" i="5" s="1"/>
  <c r="X7" i="4"/>
  <c r="N7" i="6"/>
  <c r="O7" i="6"/>
  <c r="P7" i="6" s="1"/>
  <c r="G6" i="5"/>
  <c r="J6" i="6"/>
  <c r="L6" i="6" s="1"/>
  <c r="M6" i="6" s="1"/>
  <c r="W6" i="4"/>
  <c r="I6" i="5"/>
  <c r="J6" i="5"/>
  <c r="O6" i="5" s="1"/>
  <c r="X6" i="4"/>
  <c r="N6" i="6"/>
  <c r="O6" i="6"/>
  <c r="P6" i="6" s="1"/>
  <c r="F5" i="5"/>
  <c r="H5" i="5"/>
  <c r="L5" i="5"/>
  <c r="M5" i="5"/>
  <c r="N5" i="5"/>
  <c r="E2" i="5"/>
  <c r="F5" i="6"/>
  <c r="E2" i="6"/>
  <c r="H181" i="5"/>
  <c r="N181" i="5"/>
  <c r="F181" i="5"/>
  <c r="L181" i="5"/>
  <c r="Z181" i="4" s="1"/>
  <c r="M181" i="5"/>
  <c r="K181" i="6"/>
  <c r="G181" i="6"/>
  <c r="H181" i="6"/>
  <c r="F214" i="5"/>
  <c r="H214" i="5"/>
  <c r="L214" i="5"/>
  <c r="Z214" i="4" s="1"/>
  <c r="M214" i="5"/>
  <c r="N214" i="5"/>
  <c r="K214" i="6"/>
  <c r="G214" i="6"/>
  <c r="H214" i="6" s="1"/>
  <c r="M211" i="5"/>
  <c r="N211" i="5"/>
  <c r="F211" i="5"/>
  <c r="H211" i="5"/>
  <c r="L211" i="5"/>
  <c r="Z211" i="4" s="1"/>
  <c r="K211" i="6"/>
  <c r="G211" i="6"/>
  <c r="H211" i="6" s="1"/>
  <c r="M209" i="5"/>
  <c r="F209" i="5"/>
  <c r="H209" i="5"/>
  <c r="L209" i="5"/>
  <c r="Z209" i="4" s="1"/>
  <c r="N209" i="5"/>
  <c r="K209" i="6"/>
  <c r="G209" i="6"/>
  <c r="H209" i="6" s="1"/>
  <c r="M206" i="5"/>
  <c r="F206" i="5"/>
  <c r="H206" i="5"/>
  <c r="L206" i="5"/>
  <c r="Z206" i="4" s="1"/>
  <c r="N206" i="5"/>
  <c r="K206" i="6"/>
  <c r="G206" i="6"/>
  <c r="H206" i="6" s="1"/>
  <c r="M204" i="5"/>
  <c r="F204" i="5"/>
  <c r="H204" i="5"/>
  <c r="L204" i="5"/>
  <c r="Z204" i="4" s="1"/>
  <c r="N204" i="5"/>
  <c r="K204" i="6"/>
  <c r="G204" i="6"/>
  <c r="H204" i="6" s="1"/>
  <c r="L203" i="5"/>
  <c r="Z203" i="4" s="1"/>
  <c r="N203" i="5"/>
  <c r="F203" i="5"/>
  <c r="H203" i="5"/>
  <c r="M203" i="5"/>
  <c r="K203" i="6"/>
  <c r="G203" i="6"/>
  <c r="H203" i="6" s="1"/>
  <c r="H201" i="5"/>
  <c r="M201" i="5"/>
  <c r="F201" i="5"/>
  <c r="L201" i="5"/>
  <c r="Z201" i="4" s="1"/>
  <c r="N201" i="5"/>
  <c r="K201" i="6"/>
  <c r="G201" i="6"/>
  <c r="H201" i="6" s="1"/>
  <c r="M200" i="5"/>
  <c r="N200" i="5"/>
  <c r="H200" i="5"/>
  <c r="L200" i="5"/>
  <c r="Z200" i="4" s="1"/>
  <c r="F200" i="5"/>
  <c r="K200" i="6"/>
  <c r="G200" i="6"/>
  <c r="H200" i="6" s="1"/>
  <c r="F199" i="5"/>
  <c r="H199" i="5"/>
  <c r="L199" i="5"/>
  <c r="Z199" i="4" s="1"/>
  <c r="M199" i="5"/>
  <c r="N199" i="5"/>
  <c r="K199" i="6"/>
  <c r="G199" i="6"/>
  <c r="H199" i="6" s="1"/>
  <c r="L193" i="5"/>
  <c r="Z193" i="4" s="1"/>
  <c r="N193" i="5"/>
  <c r="F193" i="5"/>
  <c r="H193" i="5"/>
  <c r="M193" i="5"/>
  <c r="K193" i="6"/>
  <c r="G193" i="6"/>
  <c r="H193" i="6" s="1"/>
  <c r="F190" i="5"/>
  <c r="H190" i="5"/>
  <c r="L190" i="5"/>
  <c r="Z190" i="4" s="1"/>
  <c r="M190" i="5"/>
  <c r="N190" i="5"/>
  <c r="K190" i="6"/>
  <c r="G190" i="6"/>
  <c r="H190" i="6" s="1"/>
  <c r="F188" i="5"/>
  <c r="H188" i="5"/>
  <c r="L188" i="5"/>
  <c r="Z188" i="4" s="1"/>
  <c r="M188" i="5"/>
  <c r="N188" i="5"/>
  <c r="K188" i="6"/>
  <c r="G188" i="6"/>
  <c r="H188" i="6" s="1"/>
  <c r="F186" i="5"/>
  <c r="H186" i="5"/>
  <c r="L186" i="5"/>
  <c r="Z186" i="4" s="1"/>
  <c r="M186" i="5"/>
  <c r="N186" i="5"/>
  <c r="K186" i="6"/>
  <c r="G186" i="6"/>
  <c r="H186" i="6" s="1"/>
  <c r="F185" i="5"/>
  <c r="H185" i="5"/>
  <c r="L185" i="5"/>
  <c r="Z185" i="4" s="1"/>
  <c r="M185" i="5"/>
  <c r="N185" i="5"/>
  <c r="K185" i="6"/>
  <c r="G185" i="6"/>
  <c r="H185" i="6" s="1"/>
  <c r="K178" i="6"/>
  <c r="G178" i="6"/>
  <c r="H178" i="6" s="1"/>
  <c r="L178" i="5"/>
  <c r="Z178" i="4" s="1"/>
  <c r="N178" i="5"/>
  <c r="H178" i="5"/>
  <c r="F178" i="5"/>
  <c r="M178" i="5"/>
  <c r="M177" i="5"/>
  <c r="F177" i="5"/>
  <c r="L177" i="5"/>
  <c r="Z177" i="4" s="1"/>
  <c r="N177" i="5"/>
  <c r="H177" i="5"/>
  <c r="K177" i="6"/>
  <c r="G177" i="6"/>
  <c r="H177" i="6" s="1"/>
  <c r="K174" i="6"/>
  <c r="G174" i="6"/>
  <c r="H174" i="6" s="1"/>
  <c r="H174" i="5"/>
  <c r="M174" i="5"/>
  <c r="F174" i="5"/>
  <c r="L174" i="5"/>
  <c r="Z174" i="4" s="1"/>
  <c r="N174" i="5"/>
  <c r="F166" i="5"/>
  <c r="L166" i="5"/>
  <c r="Z166" i="4" s="1"/>
  <c r="M166" i="5"/>
  <c r="H166" i="5"/>
  <c r="N166" i="5"/>
  <c r="K166" i="6"/>
  <c r="G166" i="6"/>
  <c r="H166" i="6" s="1"/>
  <c r="M164" i="5"/>
  <c r="H164" i="5"/>
  <c r="L164" i="5"/>
  <c r="Z164" i="4" s="1"/>
  <c r="F164" i="5"/>
  <c r="N164" i="5"/>
  <c r="K164" i="6"/>
  <c r="G164" i="6"/>
  <c r="H164" i="6" s="1"/>
  <c r="F159" i="5"/>
  <c r="H159" i="5"/>
  <c r="M159" i="5"/>
  <c r="N159" i="5"/>
  <c r="L159" i="5"/>
  <c r="Z159" i="4" s="1"/>
  <c r="K159" i="6"/>
  <c r="G159" i="6"/>
  <c r="H159" i="6" s="1"/>
  <c r="N114" i="5"/>
  <c r="L114" i="5"/>
  <c r="Z114" i="4" s="1"/>
  <c r="H114" i="5"/>
  <c r="F114" i="5"/>
  <c r="M114" i="5"/>
  <c r="K114" i="6"/>
  <c r="G114" i="6"/>
  <c r="H114" i="6" s="1"/>
  <c r="H110" i="5"/>
  <c r="M110" i="5"/>
  <c r="F110" i="5"/>
  <c r="L110" i="5"/>
  <c r="Z110" i="4" s="1"/>
  <c r="N110" i="5"/>
  <c r="K110" i="6"/>
  <c r="G110" i="6"/>
  <c r="H110" i="6" s="1"/>
  <c r="K106" i="6"/>
  <c r="G106" i="6"/>
  <c r="H106" i="6" s="1"/>
  <c r="M106" i="5"/>
  <c r="F106" i="5"/>
  <c r="H106" i="5"/>
  <c r="L106" i="5"/>
  <c r="Z106" i="4" s="1"/>
  <c r="N106" i="5"/>
  <c r="N96" i="5"/>
  <c r="L96" i="5"/>
  <c r="Z96" i="4" s="1"/>
  <c r="F96" i="5"/>
  <c r="H96" i="5"/>
  <c r="M96" i="5"/>
  <c r="K96" i="6"/>
  <c r="G96" i="6"/>
  <c r="H96" i="6" s="1"/>
  <c r="M77" i="5"/>
  <c r="F77" i="5"/>
  <c r="H77" i="5"/>
  <c r="L77" i="5"/>
  <c r="Z77" i="4" s="1"/>
  <c r="N77" i="5"/>
  <c r="K77" i="6"/>
  <c r="G77" i="6"/>
  <c r="H77" i="6" s="1"/>
  <c r="L75" i="5"/>
  <c r="Z75" i="4" s="1"/>
  <c r="M75" i="5"/>
  <c r="H75" i="5"/>
  <c r="N75" i="5"/>
  <c r="F75" i="5"/>
  <c r="K75" i="6"/>
  <c r="G75" i="6"/>
  <c r="H75" i="6" s="1"/>
  <c r="H74" i="5"/>
  <c r="L74" i="5"/>
  <c r="Z74" i="4" s="1"/>
  <c r="N74" i="5"/>
  <c r="F74" i="5"/>
  <c r="M74" i="5"/>
  <c r="K74" i="6"/>
  <c r="G74" i="6"/>
  <c r="H74" i="6" s="1"/>
  <c r="N59" i="5"/>
  <c r="F59" i="5"/>
  <c r="M59" i="5"/>
  <c r="H59" i="5"/>
  <c r="L59" i="5"/>
  <c r="Z59" i="4" s="1"/>
  <c r="K59" i="6"/>
  <c r="G59" i="6"/>
  <c r="H59" i="6" s="1"/>
  <c r="N144" i="5"/>
  <c r="F144" i="5"/>
  <c r="M144" i="5"/>
  <c r="H144" i="5"/>
  <c r="L144" i="5"/>
  <c r="Z144" i="4" s="1"/>
  <c r="K144" i="6"/>
  <c r="G144" i="6"/>
  <c r="H144" i="6" s="1"/>
  <c r="L137" i="5"/>
  <c r="Z137" i="4" s="1"/>
  <c r="N137" i="5"/>
  <c r="F137" i="5"/>
  <c r="M137" i="5"/>
  <c r="H137" i="5"/>
  <c r="K137" i="6"/>
  <c r="G137" i="6"/>
  <c r="H137" i="6" s="1"/>
  <c r="N134" i="5"/>
  <c r="F134" i="5"/>
  <c r="H134" i="5"/>
  <c r="L134" i="5"/>
  <c r="Z134" i="4" s="1"/>
  <c r="M134" i="5"/>
  <c r="K134" i="6"/>
  <c r="G134" i="6"/>
  <c r="H134" i="6" s="1"/>
  <c r="H133" i="5"/>
  <c r="F133" i="5"/>
  <c r="L133" i="5"/>
  <c r="Z133" i="4" s="1"/>
  <c r="N133" i="5"/>
  <c r="M133" i="5"/>
  <c r="K133" i="6"/>
  <c r="G133" i="6"/>
  <c r="H133" i="6" s="1"/>
  <c r="H132" i="5"/>
  <c r="M132" i="5"/>
  <c r="F132" i="5"/>
  <c r="L132" i="5"/>
  <c r="Z132" i="4" s="1"/>
  <c r="N132" i="5"/>
  <c r="K132" i="6"/>
  <c r="G132" i="6"/>
  <c r="H132" i="6" s="1"/>
  <c r="H130" i="5"/>
  <c r="M130" i="5"/>
  <c r="F130" i="5"/>
  <c r="N130" i="5"/>
  <c r="L130" i="5"/>
  <c r="Z130" i="4" s="1"/>
  <c r="K130" i="6"/>
  <c r="G130" i="6"/>
  <c r="H130" i="6" s="1"/>
  <c r="H126" i="5"/>
  <c r="L126" i="5"/>
  <c r="Z126" i="4" s="1"/>
  <c r="F126" i="5"/>
  <c r="M126" i="5"/>
  <c r="N126" i="5"/>
  <c r="K126" i="6"/>
  <c r="G126" i="6"/>
  <c r="H126" i="6" s="1"/>
  <c r="M122" i="5"/>
  <c r="H122" i="5"/>
  <c r="N122" i="5"/>
  <c r="F122" i="5"/>
  <c r="L122" i="5"/>
  <c r="Z122" i="4" s="1"/>
  <c r="K122" i="6"/>
  <c r="G122" i="6"/>
  <c r="H122" i="6" s="1"/>
  <c r="F121" i="5"/>
  <c r="H121" i="5"/>
  <c r="M121" i="5"/>
  <c r="L121" i="5"/>
  <c r="Z121" i="4" s="1"/>
  <c r="N121" i="5"/>
  <c r="K121" i="6"/>
  <c r="G121" i="6"/>
  <c r="H121" i="6" s="1"/>
  <c r="N119" i="5"/>
  <c r="F119" i="5"/>
  <c r="H119" i="5"/>
  <c r="M119" i="5"/>
  <c r="L119" i="5"/>
  <c r="Z119" i="4" s="1"/>
  <c r="K119" i="6"/>
  <c r="G119" i="6"/>
  <c r="H119" i="6" s="1"/>
  <c r="M118" i="5"/>
  <c r="F118" i="5"/>
  <c r="L118" i="5"/>
  <c r="Z118" i="4" s="1"/>
  <c r="N118" i="5"/>
  <c r="H118" i="5"/>
  <c r="K118" i="6"/>
  <c r="G118" i="6"/>
  <c r="H118" i="6" s="1"/>
  <c r="L117" i="5"/>
  <c r="Z117" i="4" s="1"/>
  <c r="N117" i="5"/>
  <c r="F117" i="5"/>
  <c r="H117" i="5"/>
  <c r="M117" i="5"/>
  <c r="K117" i="6"/>
  <c r="G117" i="6"/>
  <c r="H117" i="6" s="1"/>
  <c r="N115" i="5"/>
  <c r="H115" i="5"/>
  <c r="L115" i="5"/>
  <c r="Z115" i="4" s="1"/>
  <c r="F115" i="5"/>
  <c r="M115" i="5"/>
  <c r="K115" i="6"/>
  <c r="G115" i="6"/>
  <c r="H115" i="6" s="1"/>
  <c r="N113" i="5"/>
  <c r="L113" i="5"/>
  <c r="Z113" i="4" s="1"/>
  <c r="H113" i="5"/>
  <c r="F113" i="5"/>
  <c r="M113" i="5"/>
  <c r="K113" i="6"/>
  <c r="G113" i="6"/>
  <c r="H113" i="6" s="1"/>
  <c r="H101" i="5"/>
  <c r="M101" i="5"/>
  <c r="F101" i="5"/>
  <c r="L101" i="5"/>
  <c r="Z101" i="4" s="1"/>
  <c r="N101" i="5"/>
  <c r="K101" i="6"/>
  <c r="G101" i="6"/>
  <c r="H101" i="6" s="1"/>
  <c r="F100" i="5"/>
  <c r="H100" i="5"/>
  <c r="L100" i="5"/>
  <c r="Z100" i="4" s="1"/>
  <c r="N100" i="5"/>
  <c r="M100" i="5"/>
  <c r="K100" i="6"/>
  <c r="G100" i="6"/>
  <c r="H100" i="6" s="1"/>
  <c r="K92" i="6"/>
  <c r="G92" i="6"/>
  <c r="H92" i="6" s="1"/>
  <c r="F92" i="5"/>
  <c r="H92" i="5"/>
  <c r="M92" i="5"/>
  <c r="L92" i="5"/>
  <c r="Z92" i="4" s="1"/>
  <c r="N92" i="5"/>
  <c r="K90" i="6"/>
  <c r="G90" i="6"/>
  <c r="H90" i="6" s="1"/>
  <c r="M90" i="5"/>
  <c r="F90" i="5"/>
  <c r="H90" i="5"/>
  <c r="N90" i="5"/>
  <c r="L90" i="5"/>
  <c r="Z90" i="4" s="1"/>
  <c r="H84" i="5"/>
  <c r="L84" i="5"/>
  <c r="Z84" i="4" s="1"/>
  <c r="M84" i="5"/>
  <c r="F84" i="5"/>
  <c r="N84" i="5"/>
  <c r="K84" i="6"/>
  <c r="G84" i="6"/>
  <c r="H84" i="6" s="1"/>
  <c r="N78" i="5"/>
  <c r="H78" i="5"/>
  <c r="M78" i="5"/>
  <c r="F78" i="5"/>
  <c r="L78" i="5"/>
  <c r="Z78" i="4" s="1"/>
  <c r="K78" i="6"/>
  <c r="G78" i="6"/>
  <c r="H78" i="6" s="1"/>
  <c r="M52" i="5"/>
  <c r="H52" i="5"/>
  <c r="N52" i="5"/>
  <c r="L52" i="5"/>
  <c r="Z52" i="4" s="1"/>
  <c r="F52" i="5"/>
  <c r="K52" i="6"/>
  <c r="G52" i="6"/>
  <c r="H52" i="6" s="1"/>
  <c r="F9" i="5"/>
  <c r="H9" i="5"/>
  <c r="L9" i="5"/>
  <c r="Z9" i="4" s="1"/>
  <c r="M9" i="5"/>
  <c r="N9" i="5"/>
  <c r="K9" i="6"/>
  <c r="G9" i="6"/>
  <c r="H9" i="6" s="1"/>
  <c r="M95" i="5"/>
  <c r="N95" i="5"/>
  <c r="F95" i="5"/>
  <c r="H95" i="5"/>
  <c r="L95" i="5"/>
  <c r="Z95" i="4" s="1"/>
  <c r="K95" i="6"/>
  <c r="G95" i="6"/>
  <c r="H95" i="6" s="1"/>
  <c r="K88" i="6"/>
  <c r="G88" i="6"/>
  <c r="H88" i="6" s="1"/>
  <c r="M88" i="5"/>
  <c r="H88" i="5"/>
  <c r="L88" i="5"/>
  <c r="Z88" i="4" s="1"/>
  <c r="N88" i="5"/>
  <c r="F88" i="5"/>
  <c r="H86" i="5"/>
  <c r="L86" i="5"/>
  <c r="Z86" i="4" s="1"/>
  <c r="F86" i="5"/>
  <c r="M86" i="5"/>
  <c r="N86" i="5"/>
  <c r="K86" i="6"/>
  <c r="G86" i="6"/>
  <c r="H86" i="6" s="1"/>
  <c r="F94" i="5"/>
  <c r="M94" i="5"/>
  <c r="H94" i="5"/>
  <c r="N94" i="5"/>
  <c r="L94" i="5"/>
  <c r="Z94" i="4" s="1"/>
  <c r="K94" i="6"/>
  <c r="G94" i="6"/>
  <c r="H94" i="6" s="1"/>
  <c r="L85" i="5"/>
  <c r="Z85" i="4" s="1"/>
  <c r="N85" i="5"/>
  <c r="F85" i="5"/>
  <c r="H85" i="5"/>
  <c r="M85" i="5"/>
  <c r="K85" i="6"/>
  <c r="G85" i="6"/>
  <c r="H85" i="6" s="1"/>
  <c r="L56" i="5"/>
  <c r="Z56" i="4" s="1"/>
  <c r="M56" i="5"/>
  <c r="F56" i="5"/>
  <c r="H56" i="5"/>
  <c r="N56" i="5"/>
  <c r="K56" i="6"/>
  <c r="G56" i="6"/>
  <c r="H56" i="6"/>
  <c r="M72" i="5"/>
  <c r="F72" i="5"/>
  <c r="N72" i="5"/>
  <c r="L72" i="5"/>
  <c r="Z72" i="4" s="1"/>
  <c r="H72" i="5"/>
  <c r="K72" i="6"/>
  <c r="G72" i="6"/>
  <c r="H72" i="6"/>
  <c r="M71" i="5"/>
  <c r="F71" i="5"/>
  <c r="H71" i="5"/>
  <c r="L71" i="5"/>
  <c r="Z71" i="4" s="1"/>
  <c r="N71" i="5"/>
  <c r="K71" i="6"/>
  <c r="G71" i="6"/>
  <c r="H71" i="6"/>
  <c r="N70" i="5"/>
  <c r="M70" i="5"/>
  <c r="F70" i="5"/>
  <c r="L70" i="5"/>
  <c r="Z70" i="4" s="1"/>
  <c r="H70" i="5"/>
  <c r="K70" i="6"/>
  <c r="G70" i="6"/>
  <c r="H70" i="6"/>
  <c r="L67" i="5"/>
  <c r="Z67" i="4" s="1"/>
  <c r="N67" i="5"/>
  <c r="H67" i="5"/>
  <c r="F67" i="5"/>
  <c r="M67" i="5"/>
  <c r="K67" i="6"/>
  <c r="G67" i="6"/>
  <c r="H67" i="6" s="1"/>
  <c r="H66" i="5"/>
  <c r="L66" i="5"/>
  <c r="Z66" i="4" s="1"/>
  <c r="N66" i="5"/>
  <c r="F66" i="5"/>
  <c r="M66" i="5"/>
  <c r="K66" i="6"/>
  <c r="G66" i="6"/>
  <c r="H66" i="6"/>
  <c r="N65" i="5"/>
  <c r="F65" i="5"/>
  <c r="H65" i="5"/>
  <c r="M65" i="5"/>
  <c r="L65" i="5"/>
  <c r="Z65" i="4" s="1"/>
  <c r="K65" i="6"/>
  <c r="G65" i="6"/>
  <c r="H65" i="6"/>
  <c r="F64" i="5"/>
  <c r="L64" i="5"/>
  <c r="Z64" i="4" s="1"/>
  <c r="N64" i="5"/>
  <c r="H64" i="5"/>
  <c r="M64" i="5"/>
  <c r="K64" i="6"/>
  <c r="G64" i="6"/>
  <c r="H64" i="6" s="1"/>
  <c r="M63" i="5"/>
  <c r="H63" i="5"/>
  <c r="F63" i="5"/>
  <c r="L63" i="5"/>
  <c r="Z63" i="4" s="1"/>
  <c r="N63" i="5"/>
  <c r="K63" i="6"/>
  <c r="G63" i="6"/>
  <c r="H63" i="6"/>
  <c r="F62" i="5"/>
  <c r="H62" i="5"/>
  <c r="L62" i="5"/>
  <c r="Z62" i="4" s="1"/>
  <c r="M62" i="5"/>
  <c r="N62" i="5"/>
  <c r="K62" i="6"/>
  <c r="G62" i="6"/>
  <c r="H62" i="6" s="1"/>
  <c r="M53" i="5"/>
  <c r="F53" i="5"/>
  <c r="H53" i="5"/>
  <c r="L53" i="5"/>
  <c r="Z53" i="4" s="1"/>
  <c r="N53" i="5"/>
  <c r="K53" i="6"/>
  <c r="G53" i="6"/>
  <c r="H53" i="6"/>
  <c r="F45" i="5"/>
  <c r="H45" i="5"/>
  <c r="L45" i="5"/>
  <c r="Z45" i="4" s="1"/>
  <c r="M45" i="5"/>
  <c r="N45" i="5"/>
  <c r="K45" i="6"/>
  <c r="G45" i="6"/>
  <c r="H45" i="6"/>
  <c r="F44" i="5"/>
  <c r="H44" i="5"/>
  <c r="L44" i="5"/>
  <c r="Z44" i="4" s="1"/>
  <c r="M44" i="5"/>
  <c r="N44" i="5"/>
  <c r="K44" i="6"/>
  <c r="G44" i="6"/>
  <c r="H44" i="6"/>
  <c r="F38" i="5"/>
  <c r="H38" i="5"/>
  <c r="L38" i="5"/>
  <c r="Z38" i="4" s="1"/>
  <c r="M38" i="5"/>
  <c r="N38" i="5"/>
  <c r="K38" i="6"/>
  <c r="G38" i="6"/>
  <c r="H38" i="6" s="1"/>
  <c r="F30" i="5"/>
  <c r="H30" i="5"/>
  <c r="L30" i="5"/>
  <c r="Z30" i="4" s="1"/>
  <c r="M30" i="5"/>
  <c r="N30" i="5"/>
  <c r="K30" i="6"/>
  <c r="G30" i="6"/>
  <c r="H30" i="6" s="1"/>
  <c r="F27" i="5"/>
  <c r="H27" i="5"/>
  <c r="L27" i="5"/>
  <c r="Z27" i="4" s="1"/>
  <c r="M27" i="5"/>
  <c r="N27" i="5"/>
  <c r="K27" i="6"/>
  <c r="G27" i="6"/>
  <c r="H27" i="6" s="1"/>
  <c r="F26" i="5"/>
  <c r="H26" i="5"/>
  <c r="L26" i="5"/>
  <c r="Z26" i="4" s="1"/>
  <c r="M26" i="5"/>
  <c r="N26" i="5"/>
  <c r="K26" i="6"/>
  <c r="G26" i="6"/>
  <c r="H26" i="6" s="1"/>
  <c r="F24" i="5"/>
  <c r="H24" i="5"/>
  <c r="L24" i="5"/>
  <c r="Z24" i="4" s="1"/>
  <c r="M24" i="5"/>
  <c r="N24" i="5"/>
  <c r="K24" i="6"/>
  <c r="G24" i="6"/>
  <c r="H24" i="6" s="1"/>
  <c r="F23" i="5"/>
  <c r="H23" i="5"/>
  <c r="L23" i="5"/>
  <c r="Z23" i="4" s="1"/>
  <c r="M23" i="5"/>
  <c r="N23" i="5"/>
  <c r="K23" i="6"/>
  <c r="G23" i="6"/>
  <c r="H23" i="6" s="1"/>
  <c r="F22" i="5"/>
  <c r="H22" i="5"/>
  <c r="L22" i="5"/>
  <c r="Z22" i="4" s="1"/>
  <c r="M22" i="5"/>
  <c r="N22" i="5"/>
  <c r="K22" i="6"/>
  <c r="G22" i="6"/>
  <c r="H22" i="6" s="1"/>
  <c r="F20" i="5"/>
  <c r="H20" i="5"/>
  <c r="L20" i="5"/>
  <c r="Z20" i="4" s="1"/>
  <c r="M20" i="5"/>
  <c r="N20" i="5"/>
  <c r="K20" i="6"/>
  <c r="G20" i="6"/>
  <c r="H20" i="6" s="1"/>
  <c r="O36" i="6" l="1"/>
  <c r="P36" i="6" s="1"/>
  <c r="N216" i="6"/>
  <c r="O216" i="6" s="1"/>
  <c r="P216" i="6" s="1"/>
  <c r="N208" i="6"/>
  <c r="O208" i="6"/>
  <c r="P208" i="6" s="1"/>
  <c r="N197" i="6"/>
  <c r="O197" i="6"/>
  <c r="P197" i="6" s="1"/>
  <c r="N139" i="6"/>
  <c r="O139" i="6"/>
  <c r="P139" i="6" s="1"/>
  <c r="N138" i="6"/>
  <c r="O138" i="6" s="1"/>
  <c r="P138" i="6" s="1"/>
  <c r="N136" i="6"/>
  <c r="O136" i="6" s="1"/>
  <c r="P136" i="6" s="1"/>
  <c r="N131" i="6"/>
  <c r="O131" i="6" s="1"/>
  <c r="P131" i="6" s="1"/>
  <c r="N98" i="6"/>
  <c r="O98" i="6"/>
  <c r="P98" i="6" s="1"/>
  <c r="N54" i="6"/>
  <c r="O54" i="6"/>
  <c r="P54" i="6" s="1"/>
  <c r="N51" i="6"/>
  <c r="O51" i="6" s="1"/>
  <c r="P51" i="6" s="1"/>
  <c r="N50" i="6"/>
  <c r="O50" i="6" s="1"/>
  <c r="P50" i="6" s="1"/>
  <c r="N47" i="6"/>
  <c r="O47" i="6"/>
  <c r="P47" i="6" s="1"/>
  <c r="K220" i="5"/>
  <c r="P220" i="5" s="1"/>
  <c r="Q220" i="5" s="1"/>
  <c r="Y220" i="4"/>
  <c r="AD220" i="4" s="1"/>
  <c r="AE220" i="4" s="1"/>
  <c r="Q220" i="6"/>
  <c r="AB220" i="4" s="1"/>
  <c r="R220" i="6"/>
  <c r="AA220" i="4"/>
  <c r="Y219" i="4"/>
  <c r="AD219" i="4" s="1"/>
  <c r="AE219" i="4" s="1"/>
  <c r="K219" i="5"/>
  <c r="P219" i="5" s="1"/>
  <c r="Q219" i="5" s="1"/>
  <c r="Q219" i="6"/>
  <c r="AB219" i="4" s="1"/>
  <c r="R219" i="6"/>
  <c r="AA219" i="4"/>
  <c r="K218" i="5"/>
  <c r="P218" i="5" s="1"/>
  <c r="Q218" i="5" s="1"/>
  <c r="Y218" i="4"/>
  <c r="AD218" i="4" s="1"/>
  <c r="AE218" i="4" s="1"/>
  <c r="Q218" i="6"/>
  <c r="AB218" i="4" s="1"/>
  <c r="R218" i="6"/>
  <c r="AA218" i="4"/>
  <c r="K217" i="5"/>
  <c r="P217" i="5" s="1"/>
  <c r="Q217" i="5" s="1"/>
  <c r="Y217" i="4"/>
  <c r="AD217" i="4" s="1"/>
  <c r="AE217" i="4" s="1"/>
  <c r="Q217" i="6"/>
  <c r="AB217" i="4" s="1"/>
  <c r="R217" i="6"/>
  <c r="AA217" i="4"/>
  <c r="K216" i="5"/>
  <c r="P216" i="5" s="1"/>
  <c r="Q216" i="5" s="1"/>
  <c r="Y216" i="4"/>
  <c r="K215" i="5"/>
  <c r="P215" i="5" s="1"/>
  <c r="Q215" i="5" s="1"/>
  <c r="Y215" i="4"/>
  <c r="AD215" i="4" s="1"/>
  <c r="AE215" i="4" s="1"/>
  <c r="Q215" i="6"/>
  <c r="AB215" i="4" s="1"/>
  <c r="R215" i="6"/>
  <c r="AA215" i="4"/>
  <c r="Y213" i="4"/>
  <c r="AD213" i="4" s="1"/>
  <c r="AE213" i="4" s="1"/>
  <c r="K213" i="5"/>
  <c r="P213" i="5" s="1"/>
  <c r="Q213" i="5" s="1"/>
  <c r="Q213" i="6"/>
  <c r="AB213" i="4" s="1"/>
  <c r="R213" i="6"/>
  <c r="AA213" i="4"/>
  <c r="Y212" i="4"/>
  <c r="AD212" i="4" s="1"/>
  <c r="AE212" i="4" s="1"/>
  <c r="K212" i="5"/>
  <c r="P212" i="5" s="1"/>
  <c r="Q212" i="5" s="1"/>
  <c r="Q212" i="6"/>
  <c r="AB212" i="4" s="1"/>
  <c r="R212" i="6"/>
  <c r="AA212" i="4"/>
  <c r="K210" i="5"/>
  <c r="P210" i="5" s="1"/>
  <c r="Q210" i="5" s="1"/>
  <c r="Y210" i="4"/>
  <c r="AD210" i="4" s="1"/>
  <c r="AE210" i="4" s="1"/>
  <c r="Q210" i="6"/>
  <c r="AA210" i="4"/>
  <c r="K208" i="5"/>
  <c r="P208" i="5" s="1"/>
  <c r="Q208" i="5" s="1"/>
  <c r="Y208" i="4"/>
  <c r="Q208" i="6"/>
  <c r="AA208" i="4"/>
  <c r="Y207" i="4"/>
  <c r="AD207" i="4" s="1"/>
  <c r="AE207" i="4" s="1"/>
  <c r="K207" i="5"/>
  <c r="P207" i="5" s="1"/>
  <c r="Q207" i="5" s="1"/>
  <c r="Q207" i="6"/>
  <c r="AA207" i="4"/>
  <c r="K205" i="5"/>
  <c r="P205" i="5" s="1"/>
  <c r="Q205" i="5" s="1"/>
  <c r="Y205" i="4"/>
  <c r="Q205" i="6"/>
  <c r="AA205" i="4"/>
  <c r="K202" i="5"/>
  <c r="P202" i="5" s="1"/>
  <c r="Q202" i="5" s="1"/>
  <c r="Y202" i="4"/>
  <c r="AD202" i="4" s="1"/>
  <c r="AE202" i="4" s="1"/>
  <c r="Q202" i="6"/>
  <c r="AA202" i="4"/>
  <c r="Y198" i="4"/>
  <c r="K198" i="5"/>
  <c r="P198" i="5" s="1"/>
  <c r="Q198" i="5" s="1"/>
  <c r="Q198" i="6"/>
  <c r="AA198" i="4"/>
  <c r="Y197" i="4"/>
  <c r="K197" i="5"/>
  <c r="P197" i="5" s="1"/>
  <c r="Q197" i="5" s="1"/>
  <c r="Q197" i="6"/>
  <c r="AA197" i="4"/>
  <c r="K196" i="5"/>
  <c r="P196" i="5" s="1"/>
  <c r="Q196" i="5" s="1"/>
  <c r="Y196" i="4"/>
  <c r="Y195" i="4"/>
  <c r="K195" i="5"/>
  <c r="P195" i="5" s="1"/>
  <c r="Q195" i="5" s="1"/>
  <c r="Q195" i="6"/>
  <c r="AA195" i="4"/>
  <c r="K194" i="5"/>
  <c r="P194" i="5" s="1"/>
  <c r="Q194" i="5" s="1"/>
  <c r="Y194" i="4"/>
  <c r="AD194" i="4" s="1"/>
  <c r="AE194" i="4" s="1"/>
  <c r="Q194" i="6"/>
  <c r="AA194" i="4"/>
  <c r="K192" i="5"/>
  <c r="P192" i="5" s="1"/>
  <c r="Q192" i="5" s="1"/>
  <c r="Y192" i="4"/>
  <c r="Q192" i="6"/>
  <c r="AA192" i="4"/>
  <c r="K191" i="5"/>
  <c r="P191" i="5" s="1"/>
  <c r="Q191" i="5" s="1"/>
  <c r="Y191" i="4"/>
  <c r="AD191" i="4" s="1"/>
  <c r="AE191" i="4" s="1"/>
  <c r="Q191" i="6"/>
  <c r="AA191" i="4"/>
  <c r="K189" i="5"/>
  <c r="Y189" i="4"/>
  <c r="Q189" i="6"/>
  <c r="AB189" i="4" s="1"/>
  <c r="R189" i="6"/>
  <c r="AA189" i="4"/>
  <c r="Y187" i="4"/>
  <c r="K187" i="5"/>
  <c r="P187" i="5" s="1"/>
  <c r="Q187" i="5" s="1"/>
  <c r="Q187" i="6"/>
  <c r="AB187" i="4" s="1"/>
  <c r="R187" i="6"/>
  <c r="AA187" i="4"/>
  <c r="K184" i="5"/>
  <c r="Y184" i="4"/>
  <c r="Q184" i="6"/>
  <c r="AB184" i="4" s="1"/>
  <c r="R184" i="6"/>
  <c r="AA184" i="4"/>
  <c r="K183" i="5"/>
  <c r="P183" i="5" s="1"/>
  <c r="Y183" i="4"/>
  <c r="Q183" i="6"/>
  <c r="AB183" i="4" s="1"/>
  <c r="R183" i="6"/>
  <c r="AA183" i="4"/>
  <c r="Y182" i="4"/>
  <c r="K182" i="5"/>
  <c r="AA182" i="4"/>
  <c r="Q182" i="6"/>
  <c r="AB182" i="4" s="1"/>
  <c r="R182" i="6"/>
  <c r="K180" i="5"/>
  <c r="Y180" i="4"/>
  <c r="AA180" i="4"/>
  <c r="Q180" i="6"/>
  <c r="K179" i="5"/>
  <c r="P179" i="5" s="1"/>
  <c r="Q179" i="5" s="1"/>
  <c r="Y179" i="4"/>
  <c r="N179" i="6"/>
  <c r="O179" i="6" s="1"/>
  <c r="P179" i="6" s="1"/>
  <c r="Y176" i="4"/>
  <c r="AD176" i="4" s="1"/>
  <c r="AE176" i="4" s="1"/>
  <c r="K176" i="5"/>
  <c r="P176" i="5" s="1"/>
  <c r="Q176" i="5" s="1"/>
  <c r="Q176" i="6"/>
  <c r="AB176" i="4" s="1"/>
  <c r="R176" i="6"/>
  <c r="AA176" i="4"/>
  <c r="K175" i="5"/>
  <c r="P175" i="5" s="1"/>
  <c r="Q175" i="5" s="1"/>
  <c r="Y175" i="4"/>
  <c r="AA175" i="4"/>
  <c r="Q175" i="6"/>
  <c r="AB175" i="4" s="1"/>
  <c r="R175" i="6"/>
  <c r="Y173" i="4"/>
  <c r="K173" i="5"/>
  <c r="P173" i="5" s="1"/>
  <c r="Q173" i="5" s="1"/>
  <c r="N173" i="6"/>
  <c r="O173" i="6"/>
  <c r="P173" i="6" s="1"/>
  <c r="Y172" i="4"/>
  <c r="K172" i="5"/>
  <c r="P172" i="5" s="1"/>
  <c r="Q172" i="5" s="1"/>
  <c r="K171" i="5"/>
  <c r="P171" i="5" s="1"/>
  <c r="Q171" i="5" s="1"/>
  <c r="Y171" i="4"/>
  <c r="N171" i="6"/>
  <c r="O171" i="6" s="1"/>
  <c r="P171" i="6" s="1"/>
  <c r="K170" i="5"/>
  <c r="P170" i="5" s="1"/>
  <c r="Q170" i="5" s="1"/>
  <c r="Y170" i="4"/>
  <c r="N170" i="6"/>
  <c r="O170" i="6"/>
  <c r="P170" i="6" s="1"/>
  <c r="K169" i="5"/>
  <c r="P169" i="5" s="1"/>
  <c r="Q169" i="5" s="1"/>
  <c r="Y169" i="4"/>
  <c r="AD169" i="4" s="1"/>
  <c r="AE169" i="4" s="1"/>
  <c r="Q169" i="6"/>
  <c r="AB169" i="4" s="1"/>
  <c r="AA169" i="4"/>
  <c r="R169" i="6"/>
  <c r="K168" i="5"/>
  <c r="P168" i="5" s="1"/>
  <c r="Q168" i="5" s="1"/>
  <c r="Y168" i="4"/>
  <c r="Q168" i="6"/>
  <c r="AA168" i="4"/>
  <c r="K167" i="5"/>
  <c r="P167" i="5" s="1"/>
  <c r="Q167" i="5" s="1"/>
  <c r="Y167" i="4"/>
  <c r="K165" i="5"/>
  <c r="P165" i="5" s="1"/>
  <c r="Q165" i="5" s="1"/>
  <c r="Y165" i="4"/>
  <c r="Q165" i="6"/>
  <c r="AB165" i="4" s="1"/>
  <c r="R165" i="6"/>
  <c r="AA165" i="4"/>
  <c r="K163" i="5"/>
  <c r="P163" i="5" s="1"/>
  <c r="Q163" i="5" s="1"/>
  <c r="Y163" i="4"/>
  <c r="AD163" i="4" s="1"/>
  <c r="AE163" i="4" s="1"/>
  <c r="Q163" i="6"/>
  <c r="AB163" i="4" s="1"/>
  <c r="R163" i="6"/>
  <c r="AA163" i="4"/>
  <c r="K162" i="5"/>
  <c r="P162" i="5" s="1"/>
  <c r="Q162" i="5" s="1"/>
  <c r="Y162" i="4"/>
  <c r="AD162" i="4" s="1"/>
  <c r="AE162" i="4" s="1"/>
  <c r="Q162" i="6"/>
  <c r="AB162" i="4" s="1"/>
  <c r="R162" i="6"/>
  <c r="AA162" i="4"/>
  <c r="K161" i="5"/>
  <c r="P161" i="5" s="1"/>
  <c r="Q161" i="5" s="1"/>
  <c r="Y161" i="4"/>
  <c r="AD161" i="4" s="1"/>
  <c r="AE161" i="4" s="1"/>
  <c r="Q161" i="6"/>
  <c r="AB161" i="4" s="1"/>
  <c r="R161" i="6"/>
  <c r="AA161" i="4"/>
  <c r="Y160" i="4"/>
  <c r="AD160" i="4" s="1"/>
  <c r="AE160" i="4" s="1"/>
  <c r="K160" i="5"/>
  <c r="P160" i="5" s="1"/>
  <c r="Q160" i="5" s="1"/>
  <c r="Q160" i="6"/>
  <c r="AB160" i="4" s="1"/>
  <c r="R160" i="6"/>
  <c r="AA160" i="4"/>
  <c r="K158" i="5"/>
  <c r="P158" i="5" s="1"/>
  <c r="Q158" i="5" s="1"/>
  <c r="Y158" i="4"/>
  <c r="AD158" i="4" s="1"/>
  <c r="AE158" i="4" s="1"/>
  <c r="Q158" i="6"/>
  <c r="AB158" i="4" s="1"/>
  <c r="R158" i="6"/>
  <c r="AA158" i="4"/>
  <c r="K157" i="5"/>
  <c r="P157" i="5" s="1"/>
  <c r="Q157" i="5" s="1"/>
  <c r="Y157" i="4"/>
  <c r="AD157" i="4" s="1"/>
  <c r="AE157" i="4" s="1"/>
  <c r="Q157" i="6"/>
  <c r="AB157" i="4" s="1"/>
  <c r="R157" i="6"/>
  <c r="AA157" i="4"/>
  <c r="Y156" i="4"/>
  <c r="K156" i="5"/>
  <c r="P156" i="5" s="1"/>
  <c r="Q156" i="5" s="1"/>
  <c r="Q156" i="6"/>
  <c r="AB156" i="4" s="1"/>
  <c r="R156" i="6"/>
  <c r="AA156" i="4"/>
  <c r="Y155" i="4"/>
  <c r="K155" i="5"/>
  <c r="P155" i="5" s="1"/>
  <c r="Q155" i="5" s="1"/>
  <c r="Q155" i="6"/>
  <c r="AB155" i="4" s="1"/>
  <c r="R155" i="6"/>
  <c r="AA155" i="4"/>
  <c r="Y154" i="4"/>
  <c r="K154" i="5"/>
  <c r="P154" i="5" s="1"/>
  <c r="Q154" i="5" s="1"/>
  <c r="Q154" i="6"/>
  <c r="AA154" i="4"/>
  <c r="K153" i="5"/>
  <c r="P153" i="5" s="1"/>
  <c r="Q153" i="5" s="1"/>
  <c r="Y153" i="4"/>
  <c r="AD153" i="4" s="1"/>
  <c r="AE153" i="4" s="1"/>
  <c r="Q153" i="6"/>
  <c r="AB153" i="4" s="1"/>
  <c r="R153" i="6"/>
  <c r="AA153" i="4"/>
  <c r="Y152" i="4"/>
  <c r="K152" i="5"/>
  <c r="P152" i="5" s="1"/>
  <c r="Q152" i="5" s="1"/>
  <c r="Q152" i="6"/>
  <c r="AA152" i="4"/>
  <c r="K151" i="5"/>
  <c r="P151" i="5" s="1"/>
  <c r="Q151" i="5" s="1"/>
  <c r="Y151" i="4"/>
  <c r="Q151" i="6"/>
  <c r="AA151" i="4"/>
  <c r="K150" i="5"/>
  <c r="P150" i="5" s="1"/>
  <c r="Q150" i="5" s="1"/>
  <c r="Y150" i="4"/>
  <c r="Q150" i="6"/>
  <c r="AA150" i="4"/>
  <c r="Y149" i="4"/>
  <c r="K149" i="5"/>
  <c r="P149" i="5" s="1"/>
  <c r="Q149" i="5" s="1"/>
  <c r="Q149" i="6"/>
  <c r="AA149" i="4"/>
  <c r="K148" i="5"/>
  <c r="P148" i="5" s="1"/>
  <c r="Q148" i="5" s="1"/>
  <c r="Y148" i="4"/>
  <c r="Q148" i="6"/>
  <c r="AA148" i="4"/>
  <c r="K147" i="5"/>
  <c r="P147" i="5" s="1"/>
  <c r="Q147" i="5" s="1"/>
  <c r="Y147" i="4"/>
  <c r="Q147" i="6"/>
  <c r="AB147" i="4" s="1"/>
  <c r="R147" i="6"/>
  <c r="AA147" i="4"/>
  <c r="K146" i="5"/>
  <c r="P146" i="5" s="1"/>
  <c r="Q146" i="5" s="1"/>
  <c r="Y146" i="4"/>
  <c r="Q146" i="6"/>
  <c r="AA146" i="4"/>
  <c r="Y145" i="4"/>
  <c r="K145" i="5"/>
  <c r="P145" i="5" s="1"/>
  <c r="Q145" i="5" s="1"/>
  <c r="Q145" i="6"/>
  <c r="AA145" i="4"/>
  <c r="K143" i="5"/>
  <c r="P143" i="5" s="1"/>
  <c r="Q143" i="5" s="1"/>
  <c r="Y143" i="4"/>
  <c r="Q143" i="6"/>
  <c r="AA143" i="4"/>
  <c r="K142" i="5"/>
  <c r="P142" i="5" s="1"/>
  <c r="Q142" i="5" s="1"/>
  <c r="Y142" i="4"/>
  <c r="Q142" i="6"/>
  <c r="AA142" i="4"/>
  <c r="Y141" i="4"/>
  <c r="K141" i="5"/>
  <c r="P141" i="5" s="1"/>
  <c r="Q141" i="5" s="1"/>
  <c r="Q141" i="6"/>
  <c r="AA141" i="4"/>
  <c r="K140" i="5"/>
  <c r="P140" i="5" s="1"/>
  <c r="Q140" i="5" s="1"/>
  <c r="Y140" i="4"/>
  <c r="Q140" i="6"/>
  <c r="AA140" i="4"/>
  <c r="K139" i="5"/>
  <c r="P139" i="5" s="1"/>
  <c r="Q139" i="5" s="1"/>
  <c r="Y139" i="4"/>
  <c r="Q139" i="6"/>
  <c r="AA139" i="4"/>
  <c r="Y138" i="4"/>
  <c r="K138" i="5"/>
  <c r="P138" i="5" s="1"/>
  <c r="Q138" i="5" s="1"/>
  <c r="K136" i="5"/>
  <c r="P136" i="5" s="1"/>
  <c r="Q136" i="5" s="1"/>
  <c r="Y136" i="4"/>
  <c r="K135" i="5"/>
  <c r="P135" i="5" s="1"/>
  <c r="Q135" i="5" s="1"/>
  <c r="Y135" i="4"/>
  <c r="Q135" i="6"/>
  <c r="AA135" i="4"/>
  <c r="K131" i="5"/>
  <c r="P131" i="5" s="1"/>
  <c r="Q131" i="5" s="1"/>
  <c r="Y131" i="4"/>
  <c r="Y129" i="4"/>
  <c r="K129" i="5"/>
  <c r="P129" i="5" s="1"/>
  <c r="Q129" i="5" s="1"/>
  <c r="Q129" i="6"/>
  <c r="AA129" i="4"/>
  <c r="Y128" i="4"/>
  <c r="K128" i="5"/>
  <c r="P128" i="5" s="1"/>
  <c r="Q128" i="5" s="1"/>
  <c r="Q128" i="6"/>
  <c r="AA128" i="4"/>
  <c r="K127" i="5"/>
  <c r="P127" i="5" s="1"/>
  <c r="Q127" i="5" s="1"/>
  <c r="Y127" i="4"/>
  <c r="Q127" i="6"/>
  <c r="AA127" i="4"/>
  <c r="Y125" i="4"/>
  <c r="K125" i="5"/>
  <c r="P125" i="5" s="1"/>
  <c r="Q125" i="5" s="1"/>
  <c r="Q125" i="6"/>
  <c r="AA125" i="4"/>
  <c r="Y124" i="4"/>
  <c r="K124" i="5"/>
  <c r="P124" i="5" s="1"/>
  <c r="Q124" i="5" s="1"/>
  <c r="Q124" i="6"/>
  <c r="AA124" i="4"/>
  <c r="K123" i="5"/>
  <c r="P123" i="5" s="1"/>
  <c r="Q123" i="5" s="1"/>
  <c r="Y123" i="4"/>
  <c r="Q123" i="6"/>
  <c r="AA123" i="4"/>
  <c r="Y120" i="4"/>
  <c r="K120" i="5"/>
  <c r="P120" i="5" s="1"/>
  <c r="Q120" i="5" s="1"/>
  <c r="Q120" i="6"/>
  <c r="AA120" i="4"/>
  <c r="Y116" i="4"/>
  <c r="K116" i="5"/>
  <c r="P116" i="5" s="1"/>
  <c r="Q116" i="5" s="1"/>
  <c r="Q116" i="6"/>
  <c r="AA116" i="4"/>
  <c r="K112" i="5"/>
  <c r="P112" i="5" s="1"/>
  <c r="Q112" i="5" s="1"/>
  <c r="Y112" i="4"/>
  <c r="Q112" i="6"/>
  <c r="AA112" i="4"/>
  <c r="Y111" i="4"/>
  <c r="K111" i="5"/>
  <c r="P111" i="5" s="1"/>
  <c r="Q111" i="5" s="1"/>
  <c r="N111" i="6"/>
  <c r="O111" i="6" s="1"/>
  <c r="P111" i="6" s="1"/>
  <c r="N109" i="6"/>
  <c r="O109" i="6" s="1"/>
  <c r="P109" i="6" s="1"/>
  <c r="Y109" i="4"/>
  <c r="K109" i="5"/>
  <c r="P109" i="5" s="1"/>
  <c r="Q109" i="5" s="1"/>
  <c r="K108" i="5"/>
  <c r="P108" i="5" s="1"/>
  <c r="Q108" i="5" s="1"/>
  <c r="Y108" i="4"/>
  <c r="K107" i="5"/>
  <c r="P107" i="5" s="1"/>
  <c r="Q107" i="5" s="1"/>
  <c r="Y107" i="4"/>
  <c r="Q107" i="6"/>
  <c r="AA107" i="4"/>
  <c r="N105" i="6"/>
  <c r="O105" i="6" s="1"/>
  <c r="P105" i="6" s="1"/>
  <c r="K105" i="5"/>
  <c r="P105" i="5" s="1"/>
  <c r="Q105" i="5" s="1"/>
  <c r="Y105" i="4"/>
  <c r="Y104" i="4"/>
  <c r="K104" i="5"/>
  <c r="P104" i="5" s="1"/>
  <c r="Q104" i="5" s="1"/>
  <c r="K103" i="5"/>
  <c r="P103" i="5" s="1"/>
  <c r="Q103" i="5" s="1"/>
  <c r="Y103" i="4"/>
  <c r="K102" i="5"/>
  <c r="P102" i="5" s="1"/>
  <c r="Q102" i="5" s="1"/>
  <c r="Y102" i="4"/>
  <c r="Q102" i="6"/>
  <c r="AA102" i="4"/>
  <c r="K99" i="5"/>
  <c r="P99" i="5" s="1"/>
  <c r="Q99" i="5" s="1"/>
  <c r="Y99" i="4"/>
  <c r="Q99" i="6"/>
  <c r="AA99" i="4"/>
  <c r="Y98" i="4"/>
  <c r="K98" i="5"/>
  <c r="P98" i="5" s="1"/>
  <c r="Q98" i="5" s="1"/>
  <c r="Q98" i="6"/>
  <c r="AA98" i="4"/>
  <c r="K97" i="5"/>
  <c r="P97" i="5" s="1"/>
  <c r="Q97" i="5" s="1"/>
  <c r="Y97" i="4"/>
  <c r="Q97" i="6"/>
  <c r="AB97" i="4" s="1"/>
  <c r="R97" i="6"/>
  <c r="AA97" i="4"/>
  <c r="Y93" i="4"/>
  <c r="K93" i="5"/>
  <c r="P93" i="5" s="1"/>
  <c r="Q93" i="6"/>
  <c r="AA93" i="4"/>
  <c r="K91" i="5"/>
  <c r="P91" i="5" s="1"/>
  <c r="Y91" i="4"/>
  <c r="N91" i="6"/>
  <c r="O91" i="6" s="1"/>
  <c r="P91" i="6" s="1"/>
  <c r="N89" i="6"/>
  <c r="O89" i="6" s="1"/>
  <c r="P89" i="6" s="1"/>
  <c r="K89" i="5"/>
  <c r="Y89" i="4"/>
  <c r="K87" i="5"/>
  <c r="Y87" i="4"/>
  <c r="Q87" i="6"/>
  <c r="AA87" i="4"/>
  <c r="K83" i="5"/>
  <c r="P83" i="5" s="1"/>
  <c r="Y83" i="4"/>
  <c r="Q83" i="6"/>
  <c r="AB83" i="4" s="1"/>
  <c r="R83" i="6"/>
  <c r="AA83" i="4"/>
  <c r="K82" i="5"/>
  <c r="Y82" i="4"/>
  <c r="Q82" i="6"/>
  <c r="AA82" i="4"/>
  <c r="K81" i="5"/>
  <c r="Y81" i="4"/>
  <c r="Q81" i="6"/>
  <c r="AA81" i="4"/>
  <c r="K80" i="5"/>
  <c r="Y80" i="4"/>
  <c r="Q80" i="6"/>
  <c r="AA80" i="4"/>
  <c r="K79" i="5"/>
  <c r="Y79" i="4"/>
  <c r="Q79" i="6"/>
  <c r="AA79" i="4"/>
  <c r="K76" i="5"/>
  <c r="Y76" i="4"/>
  <c r="Q76" i="6"/>
  <c r="AA76" i="4"/>
  <c r="K73" i="5"/>
  <c r="Y73" i="4"/>
  <c r="Q73" i="6"/>
  <c r="AA73" i="4"/>
  <c r="Y69" i="4"/>
  <c r="K69" i="5"/>
  <c r="P69" i="5" s="1"/>
  <c r="Q69" i="5" s="1"/>
  <c r="Q69" i="6"/>
  <c r="AA69" i="4"/>
  <c r="K68" i="5"/>
  <c r="P68" i="5" s="1"/>
  <c r="Q68" i="5" s="1"/>
  <c r="Y68" i="4"/>
  <c r="Q68" i="6"/>
  <c r="AA68" i="4"/>
  <c r="K61" i="5"/>
  <c r="P61" i="5" s="1"/>
  <c r="Q61" i="5" s="1"/>
  <c r="Y61" i="4"/>
  <c r="Q61" i="6"/>
  <c r="AB61" i="4" s="1"/>
  <c r="AA61" i="4"/>
  <c r="AD61" i="4" s="1"/>
  <c r="AE61" i="4" s="1"/>
  <c r="R61" i="6"/>
  <c r="Y60" i="4"/>
  <c r="K60" i="5"/>
  <c r="P60" i="5" s="1"/>
  <c r="Q60" i="5" s="1"/>
  <c r="Q60" i="6"/>
  <c r="AA60" i="4"/>
  <c r="K58" i="5"/>
  <c r="P58" i="5" s="1"/>
  <c r="Q58" i="5" s="1"/>
  <c r="Y58" i="4"/>
  <c r="Q58" i="6"/>
  <c r="AA58" i="4"/>
  <c r="Y57" i="4"/>
  <c r="K57" i="5"/>
  <c r="P57" i="5" s="1"/>
  <c r="Q57" i="5" s="1"/>
  <c r="Q57" i="6"/>
  <c r="AA57" i="4"/>
  <c r="N55" i="6"/>
  <c r="O55" i="6" s="1"/>
  <c r="P55" i="6" s="1"/>
  <c r="K55" i="5"/>
  <c r="P55" i="5" s="1"/>
  <c r="Q55" i="5" s="1"/>
  <c r="Y55" i="4"/>
  <c r="Y54" i="4"/>
  <c r="K54" i="5"/>
  <c r="P54" i="5" s="1"/>
  <c r="Q54" i="5" s="1"/>
  <c r="K51" i="5"/>
  <c r="P51" i="5" s="1"/>
  <c r="Q51" i="5" s="1"/>
  <c r="Y51" i="4"/>
  <c r="Y50" i="4"/>
  <c r="K50" i="5"/>
  <c r="P50" i="5" s="1"/>
  <c r="Q50" i="5" s="1"/>
  <c r="Y49" i="4"/>
  <c r="K49" i="5"/>
  <c r="P49" i="5" s="1"/>
  <c r="Q49" i="5" s="1"/>
  <c r="Q49" i="6"/>
  <c r="AA49" i="4"/>
  <c r="K48" i="5"/>
  <c r="P48" i="5" s="1"/>
  <c r="Q48" i="5" s="1"/>
  <c r="Y48" i="4"/>
  <c r="Q48" i="6"/>
  <c r="AA48" i="4"/>
  <c r="K47" i="5"/>
  <c r="P47" i="5" s="1"/>
  <c r="Q47" i="5" s="1"/>
  <c r="Y47" i="4"/>
  <c r="K46" i="5"/>
  <c r="P46" i="5" s="1"/>
  <c r="Q46" i="5" s="1"/>
  <c r="Y46" i="4"/>
  <c r="Q46" i="6"/>
  <c r="AA46" i="4"/>
  <c r="K43" i="5"/>
  <c r="P43" i="5" s="1"/>
  <c r="Q43" i="5" s="1"/>
  <c r="Y43" i="4"/>
  <c r="Q43" i="6"/>
  <c r="AA43" i="4"/>
  <c r="K42" i="5"/>
  <c r="P42" i="5" s="1"/>
  <c r="Q42" i="5" s="1"/>
  <c r="Y42" i="4"/>
  <c r="K41" i="5"/>
  <c r="P41" i="5" s="1"/>
  <c r="Q41" i="5" s="1"/>
  <c r="Y41" i="4"/>
  <c r="K40" i="5"/>
  <c r="P40" i="5" s="1"/>
  <c r="Q40" i="5" s="1"/>
  <c r="Y40" i="4"/>
  <c r="Q40" i="6"/>
  <c r="AA40" i="4"/>
  <c r="K39" i="5"/>
  <c r="P39" i="5" s="1"/>
  <c r="Q39" i="5" s="1"/>
  <c r="Y39" i="4"/>
  <c r="Q39" i="6"/>
  <c r="AA39" i="4"/>
  <c r="K37" i="5"/>
  <c r="P37" i="5" s="1"/>
  <c r="Q37" i="5" s="1"/>
  <c r="Y37" i="4"/>
  <c r="Q37" i="6"/>
  <c r="AA37" i="4"/>
  <c r="K36" i="5"/>
  <c r="P36" i="5" s="1"/>
  <c r="Q36" i="5" s="1"/>
  <c r="Y36" i="4"/>
  <c r="Q36" i="6"/>
  <c r="AA36" i="4"/>
  <c r="K35" i="5"/>
  <c r="P35" i="5" s="1"/>
  <c r="Q35" i="5" s="1"/>
  <c r="Y35" i="4"/>
  <c r="K34" i="5"/>
  <c r="P34" i="5" s="1"/>
  <c r="Q34" i="5" s="1"/>
  <c r="Y34" i="4"/>
  <c r="Q34" i="6"/>
  <c r="AA34" i="4"/>
  <c r="K33" i="5"/>
  <c r="P33" i="5" s="1"/>
  <c r="Q33" i="5" s="1"/>
  <c r="Y33" i="4"/>
  <c r="K32" i="5"/>
  <c r="P32" i="5" s="1"/>
  <c r="Q32" i="5" s="1"/>
  <c r="Y32" i="4"/>
  <c r="K31" i="5"/>
  <c r="P31" i="5" s="1"/>
  <c r="Q31" i="5" s="1"/>
  <c r="Y31" i="4"/>
  <c r="Q31" i="6"/>
  <c r="AA31" i="4"/>
  <c r="K29" i="5"/>
  <c r="P29" i="5" s="1"/>
  <c r="Q29" i="5" s="1"/>
  <c r="Y29" i="4"/>
  <c r="Q29" i="6"/>
  <c r="AA29" i="4"/>
  <c r="K28" i="5"/>
  <c r="P28" i="5" s="1"/>
  <c r="Q28" i="5" s="1"/>
  <c r="Y28" i="4"/>
  <c r="K25" i="5"/>
  <c r="P25" i="5" s="1"/>
  <c r="Q25" i="5" s="1"/>
  <c r="Y25" i="4"/>
  <c r="Q25" i="6"/>
  <c r="AA25" i="4"/>
  <c r="K21" i="5"/>
  <c r="P21" i="5" s="1"/>
  <c r="Q21" i="5" s="1"/>
  <c r="Y21" i="4"/>
  <c r="K19" i="5"/>
  <c r="P19" i="5" s="1"/>
  <c r="Q19" i="5" s="1"/>
  <c r="Y19" i="4"/>
  <c r="K18" i="5"/>
  <c r="P18" i="5" s="1"/>
  <c r="Q18" i="5" s="1"/>
  <c r="Y18" i="4"/>
  <c r="K17" i="5"/>
  <c r="P17" i="5" s="1"/>
  <c r="Q17" i="5" s="1"/>
  <c r="Y17" i="4"/>
  <c r="Q17" i="6"/>
  <c r="AA17" i="4"/>
  <c r="K16" i="5"/>
  <c r="P16" i="5" s="1"/>
  <c r="Q16" i="5" s="1"/>
  <c r="Y16" i="4"/>
  <c r="Q16" i="6"/>
  <c r="AA16" i="4"/>
  <c r="K15" i="5"/>
  <c r="P15" i="5" s="1"/>
  <c r="Q15" i="5" s="1"/>
  <c r="Y15" i="4"/>
  <c r="Q15" i="6"/>
  <c r="AA15" i="4"/>
  <c r="K14" i="5"/>
  <c r="P14" i="5" s="1"/>
  <c r="Q14" i="5" s="1"/>
  <c r="Y14" i="4"/>
  <c r="Q14" i="6"/>
  <c r="AA14" i="4"/>
  <c r="K13" i="5"/>
  <c r="P13" i="5" s="1"/>
  <c r="Q13" i="5" s="1"/>
  <c r="Y13" i="4"/>
  <c r="Q13" i="6"/>
  <c r="AA13" i="4"/>
  <c r="K12" i="5"/>
  <c r="P12" i="5" s="1"/>
  <c r="Q12" i="5" s="1"/>
  <c r="Y12" i="4"/>
  <c r="Q12" i="6"/>
  <c r="AA12" i="4"/>
  <c r="G11" i="5"/>
  <c r="J11" i="6"/>
  <c r="L11" i="6" s="1"/>
  <c r="M11" i="6" s="1"/>
  <c r="N11" i="6" s="1"/>
  <c r="O11" i="6" s="1"/>
  <c r="P11" i="6" s="1"/>
  <c r="W11" i="4"/>
  <c r="I11" i="5"/>
  <c r="J11" i="5"/>
  <c r="O11" i="5" s="1"/>
  <c r="X11" i="4"/>
  <c r="F12" i="7" s="1"/>
  <c r="K10" i="5"/>
  <c r="P10" i="5" s="1"/>
  <c r="Q10" i="5" s="1"/>
  <c r="Y10" i="4"/>
  <c r="Q10" i="6"/>
  <c r="AA10" i="4"/>
  <c r="K8" i="5"/>
  <c r="P8" i="5" s="1"/>
  <c r="Q8" i="5" s="1"/>
  <c r="Y8" i="4"/>
  <c r="Q8" i="6"/>
  <c r="AA8" i="4"/>
  <c r="K7" i="5"/>
  <c r="P7" i="5" s="1"/>
  <c r="Q7" i="5" s="1"/>
  <c r="Y7" i="4"/>
  <c r="Q7" i="6"/>
  <c r="AA7" i="4"/>
  <c r="K6" i="5"/>
  <c r="P6" i="5" s="1"/>
  <c r="Q6" i="5" s="1"/>
  <c r="Y6" i="4"/>
  <c r="Q6" i="6"/>
  <c r="AA6" i="4"/>
  <c r="G5" i="5"/>
  <c r="J5" i="6"/>
  <c r="W5" i="4"/>
  <c r="F2" i="5"/>
  <c r="I5" i="5"/>
  <c r="J5" i="5"/>
  <c r="O5" i="5" s="1"/>
  <c r="X5" i="4"/>
  <c r="H2" i="5"/>
  <c r="Z5" i="4"/>
  <c r="Z2" i="4" s="1"/>
  <c r="L2" i="5"/>
  <c r="G5" i="6"/>
  <c r="H5" i="6" s="1"/>
  <c r="L5" i="6" s="1"/>
  <c r="M5" i="6" s="1"/>
  <c r="K5" i="6"/>
  <c r="J181" i="5"/>
  <c r="O181" i="5" s="1"/>
  <c r="I181" i="5"/>
  <c r="X181" i="4"/>
  <c r="G181" i="5"/>
  <c r="J181" i="6"/>
  <c r="L181" i="6" s="1"/>
  <c r="M181" i="6" s="1"/>
  <c r="W181" i="4"/>
  <c r="J214" i="6"/>
  <c r="L214" i="6" s="1"/>
  <c r="M214" i="6" s="1"/>
  <c r="W214" i="4"/>
  <c r="G214" i="5"/>
  <c r="I214" i="5"/>
  <c r="J214" i="5"/>
  <c r="O214" i="5" s="1"/>
  <c r="X214" i="4"/>
  <c r="G211" i="5"/>
  <c r="J211" i="6"/>
  <c r="L211" i="6" s="1"/>
  <c r="M211" i="6" s="1"/>
  <c r="W211" i="4"/>
  <c r="I211" i="5"/>
  <c r="J211" i="5"/>
  <c r="O211" i="5" s="1"/>
  <c r="X211" i="4"/>
  <c r="N211" i="6"/>
  <c r="O211" i="6" s="1"/>
  <c r="P211" i="6" s="1"/>
  <c r="J209" i="6"/>
  <c r="L209" i="6" s="1"/>
  <c r="M209" i="6" s="1"/>
  <c r="N209" i="6" s="1"/>
  <c r="O209" i="6" s="1"/>
  <c r="P209" i="6" s="1"/>
  <c r="W209" i="4"/>
  <c r="G209" i="5"/>
  <c r="J209" i="5"/>
  <c r="O209" i="5" s="1"/>
  <c r="X209" i="4"/>
  <c r="I209" i="5"/>
  <c r="J206" i="6"/>
  <c r="L206" i="6" s="1"/>
  <c r="M206" i="6" s="1"/>
  <c r="W206" i="4"/>
  <c r="G206" i="5"/>
  <c r="J206" i="5"/>
  <c r="O206" i="5" s="1"/>
  <c r="X206" i="4"/>
  <c r="I206" i="5"/>
  <c r="N206" i="6"/>
  <c r="O206" i="6" s="1"/>
  <c r="P206" i="6" s="1"/>
  <c r="J204" i="6"/>
  <c r="L204" i="6" s="1"/>
  <c r="M204" i="6" s="1"/>
  <c r="W204" i="4"/>
  <c r="G204" i="5"/>
  <c r="J204" i="5"/>
  <c r="O204" i="5" s="1"/>
  <c r="X204" i="4"/>
  <c r="I204" i="5"/>
  <c r="G203" i="5"/>
  <c r="J203" i="6"/>
  <c r="L203" i="6" s="1"/>
  <c r="M203" i="6" s="1"/>
  <c r="W203" i="4"/>
  <c r="I203" i="5"/>
  <c r="J203" i="5"/>
  <c r="O203" i="5" s="1"/>
  <c r="X203" i="4"/>
  <c r="I201" i="5"/>
  <c r="J201" i="5"/>
  <c r="X201" i="4"/>
  <c r="O201" i="5"/>
  <c r="J201" i="6"/>
  <c r="L201" i="6" s="1"/>
  <c r="M201" i="6" s="1"/>
  <c r="W201" i="4"/>
  <c r="G201" i="5"/>
  <c r="N201" i="6"/>
  <c r="O201" i="6" s="1"/>
  <c r="P201" i="6" s="1"/>
  <c r="J200" i="5"/>
  <c r="I200" i="5"/>
  <c r="X200" i="4"/>
  <c r="G200" i="5"/>
  <c r="O200" i="5"/>
  <c r="J200" i="6"/>
  <c r="L200" i="6" s="1"/>
  <c r="M200" i="6" s="1"/>
  <c r="W200" i="4"/>
  <c r="J199" i="6"/>
  <c r="L199" i="6" s="1"/>
  <c r="M199" i="6" s="1"/>
  <c r="W199" i="4"/>
  <c r="G199" i="5"/>
  <c r="I199" i="5"/>
  <c r="X199" i="4"/>
  <c r="J199" i="5"/>
  <c r="O199" i="5" s="1"/>
  <c r="N199" i="6"/>
  <c r="O199" i="6" s="1"/>
  <c r="P199" i="6" s="1"/>
  <c r="G193" i="5"/>
  <c r="J193" i="6"/>
  <c r="L193" i="6" s="1"/>
  <c r="M193" i="6" s="1"/>
  <c r="W193" i="4"/>
  <c r="J193" i="5"/>
  <c r="O193" i="5" s="1"/>
  <c r="I193" i="5"/>
  <c r="X193" i="4"/>
  <c r="N193" i="6"/>
  <c r="O193" i="6" s="1"/>
  <c r="P193" i="6" s="1"/>
  <c r="J190" i="6"/>
  <c r="L190" i="6" s="1"/>
  <c r="M190" i="6" s="1"/>
  <c r="W190" i="4"/>
  <c r="G190" i="5"/>
  <c r="I190" i="5"/>
  <c r="J190" i="5"/>
  <c r="O190" i="5" s="1"/>
  <c r="X190" i="4"/>
  <c r="N190" i="6"/>
  <c r="O190" i="6" s="1"/>
  <c r="P190" i="6" s="1"/>
  <c r="G188" i="5"/>
  <c r="J188" i="6"/>
  <c r="L188" i="6" s="1"/>
  <c r="M188" i="6" s="1"/>
  <c r="W188" i="4"/>
  <c r="I188" i="5"/>
  <c r="X188" i="4"/>
  <c r="J188" i="5"/>
  <c r="O188" i="5" s="1"/>
  <c r="J186" i="6"/>
  <c r="L186" i="6" s="1"/>
  <c r="M186" i="6" s="1"/>
  <c r="W186" i="4"/>
  <c r="G186" i="5"/>
  <c r="I186" i="5"/>
  <c r="J186" i="5"/>
  <c r="O186" i="5" s="1"/>
  <c r="X186" i="4"/>
  <c r="N186" i="6"/>
  <c r="O186" i="6"/>
  <c r="P186" i="6" s="1"/>
  <c r="J185" i="6"/>
  <c r="L185" i="6" s="1"/>
  <c r="M185" i="6" s="1"/>
  <c r="W185" i="4"/>
  <c r="G185" i="5"/>
  <c r="I185" i="5"/>
  <c r="J185" i="5"/>
  <c r="O185" i="5" s="1"/>
  <c r="X185" i="4"/>
  <c r="N185" i="6"/>
  <c r="O185" i="6"/>
  <c r="P185" i="6" s="1"/>
  <c r="I178" i="5"/>
  <c r="J178" i="5"/>
  <c r="X178" i="4"/>
  <c r="G178" i="5"/>
  <c r="O178" i="5"/>
  <c r="W178" i="4"/>
  <c r="J178" i="6"/>
  <c r="L178" i="6" s="1"/>
  <c r="M178" i="6" s="1"/>
  <c r="J177" i="6"/>
  <c r="L177" i="6" s="1"/>
  <c r="M177" i="6" s="1"/>
  <c r="W177" i="4"/>
  <c r="G177" i="5"/>
  <c r="J177" i="5"/>
  <c r="O177" i="5" s="1"/>
  <c r="I177" i="5"/>
  <c r="X177" i="4"/>
  <c r="N177" i="6"/>
  <c r="O177" i="6"/>
  <c r="P177" i="6" s="1"/>
  <c r="X174" i="4"/>
  <c r="J174" i="5"/>
  <c r="I174" i="5"/>
  <c r="O174" i="5"/>
  <c r="J174" i="6"/>
  <c r="L174" i="6" s="1"/>
  <c r="M174" i="6" s="1"/>
  <c r="W174" i="4"/>
  <c r="G174" i="5"/>
  <c r="G166" i="5"/>
  <c r="J166" i="6"/>
  <c r="L166" i="6" s="1"/>
  <c r="M166" i="6" s="1"/>
  <c r="W166" i="4"/>
  <c r="J166" i="5"/>
  <c r="O166" i="5" s="1"/>
  <c r="I166" i="5"/>
  <c r="X166" i="4"/>
  <c r="N166" i="6"/>
  <c r="O166" i="6"/>
  <c r="P166" i="6" s="1"/>
  <c r="J164" i="5"/>
  <c r="I164" i="5"/>
  <c r="X164" i="4"/>
  <c r="G164" i="5"/>
  <c r="O164" i="5"/>
  <c r="J164" i="6"/>
  <c r="L164" i="6" s="1"/>
  <c r="M164" i="6" s="1"/>
  <c r="W164" i="4"/>
  <c r="N164" i="6"/>
  <c r="O164" i="6"/>
  <c r="P164" i="6" s="1"/>
  <c r="J159" i="6"/>
  <c r="L159" i="6" s="1"/>
  <c r="M159" i="6" s="1"/>
  <c r="W159" i="4"/>
  <c r="G159" i="5"/>
  <c r="J159" i="5"/>
  <c r="O159" i="5" s="1"/>
  <c r="X159" i="4"/>
  <c r="I159" i="5"/>
  <c r="N159" i="6"/>
  <c r="I114" i="5"/>
  <c r="X114" i="4"/>
  <c r="J114" i="5"/>
  <c r="O114" i="5"/>
  <c r="J114" i="6"/>
  <c r="L114" i="6" s="1"/>
  <c r="M114" i="6" s="1"/>
  <c r="W114" i="4"/>
  <c r="G114" i="5"/>
  <c r="N114" i="6"/>
  <c r="O114" i="6"/>
  <c r="P114" i="6" s="1"/>
  <c r="J110" i="5"/>
  <c r="X110" i="4"/>
  <c r="I110" i="5"/>
  <c r="W110" i="4"/>
  <c r="G110" i="5"/>
  <c r="O110" i="5"/>
  <c r="J110" i="6"/>
  <c r="L110" i="6" s="1"/>
  <c r="M110" i="6" s="1"/>
  <c r="N110" i="6"/>
  <c r="O110" i="6"/>
  <c r="P110" i="6" s="1"/>
  <c r="J106" i="6"/>
  <c r="L106" i="6" s="1"/>
  <c r="M106" i="6" s="1"/>
  <c r="G106" i="5"/>
  <c r="W106" i="4"/>
  <c r="J106" i="5"/>
  <c r="O106" i="5" s="1"/>
  <c r="I106" i="5"/>
  <c r="X106" i="4"/>
  <c r="W96" i="4"/>
  <c r="G96" i="5"/>
  <c r="J96" i="6"/>
  <c r="L96" i="6" s="1"/>
  <c r="M96" i="6" s="1"/>
  <c r="J96" i="5"/>
  <c r="O96" i="5" s="1"/>
  <c r="X96" i="4"/>
  <c r="I96" i="5"/>
  <c r="N96" i="6"/>
  <c r="O96" i="6"/>
  <c r="P96" i="6" s="1"/>
  <c r="J77" i="6"/>
  <c r="L77" i="6" s="1"/>
  <c r="M77" i="6" s="1"/>
  <c r="W77" i="4"/>
  <c r="G77" i="5"/>
  <c r="X77" i="4"/>
  <c r="I77" i="5"/>
  <c r="J77" i="5"/>
  <c r="O77" i="5" s="1"/>
  <c r="N77" i="6"/>
  <c r="O77" i="6"/>
  <c r="P77" i="6" s="1"/>
  <c r="J75" i="5"/>
  <c r="X75" i="4"/>
  <c r="I75" i="5"/>
  <c r="O75" i="5"/>
  <c r="J75" i="6"/>
  <c r="L75" i="6" s="1"/>
  <c r="M75" i="6" s="1"/>
  <c r="W75" i="4"/>
  <c r="G75" i="5"/>
  <c r="N75" i="6"/>
  <c r="O75" i="6"/>
  <c r="P75" i="6" s="1"/>
  <c r="X74" i="4"/>
  <c r="I74" i="5"/>
  <c r="J74" i="5"/>
  <c r="O74" i="5"/>
  <c r="G74" i="5"/>
  <c r="J74" i="6"/>
  <c r="L74" i="6" s="1"/>
  <c r="M74" i="6" s="1"/>
  <c r="W74" i="4"/>
  <c r="N74" i="6"/>
  <c r="O74" i="6"/>
  <c r="P74" i="6" s="1"/>
  <c r="W59" i="4"/>
  <c r="G59" i="5"/>
  <c r="J59" i="6"/>
  <c r="L59" i="6" s="1"/>
  <c r="M59" i="6" s="1"/>
  <c r="J59" i="5"/>
  <c r="O59" i="5" s="1"/>
  <c r="X59" i="4"/>
  <c r="I59" i="5"/>
  <c r="N59" i="6"/>
  <c r="O59" i="6" s="1"/>
  <c r="P59" i="6" s="1"/>
  <c r="G144" i="5"/>
  <c r="J144" i="6"/>
  <c r="L144" i="6" s="1"/>
  <c r="M144" i="6" s="1"/>
  <c r="W144" i="4"/>
  <c r="I144" i="5"/>
  <c r="X144" i="4"/>
  <c r="J144" i="5"/>
  <c r="O144" i="5" s="1"/>
  <c r="N144" i="6"/>
  <c r="O144" i="6"/>
  <c r="P144" i="6" s="1"/>
  <c r="G137" i="5"/>
  <c r="J137" i="6"/>
  <c r="L137" i="6" s="1"/>
  <c r="M137" i="6" s="1"/>
  <c r="W137" i="4"/>
  <c r="I137" i="5"/>
  <c r="J137" i="5"/>
  <c r="O137" i="5" s="1"/>
  <c r="X137" i="4"/>
  <c r="N137" i="6"/>
  <c r="O137" i="6"/>
  <c r="P137" i="6" s="1"/>
  <c r="J134" i="6"/>
  <c r="L134" i="6" s="1"/>
  <c r="M134" i="6" s="1"/>
  <c r="W134" i="4"/>
  <c r="G134" i="5"/>
  <c r="J134" i="5"/>
  <c r="O134" i="5" s="1"/>
  <c r="X134" i="4"/>
  <c r="I134" i="5"/>
  <c r="N134" i="6"/>
  <c r="O134" i="6" s="1"/>
  <c r="P134" i="6" s="1"/>
  <c r="I133" i="5"/>
  <c r="J133" i="5"/>
  <c r="X133" i="4"/>
  <c r="G133" i="5"/>
  <c r="J133" i="6"/>
  <c r="L133" i="6" s="1"/>
  <c r="M133" i="6" s="1"/>
  <c r="N133" i="6" s="1"/>
  <c r="O133" i="6" s="1"/>
  <c r="P133" i="6" s="1"/>
  <c r="W133" i="4"/>
  <c r="O133" i="5"/>
  <c r="J132" i="5"/>
  <c r="I132" i="5"/>
  <c r="X132" i="4"/>
  <c r="O132" i="5"/>
  <c r="J132" i="6"/>
  <c r="L132" i="6" s="1"/>
  <c r="M132" i="6" s="1"/>
  <c r="W132" i="4"/>
  <c r="G132" i="5"/>
  <c r="J130" i="5"/>
  <c r="O130" i="5" s="1"/>
  <c r="I130" i="5"/>
  <c r="X130" i="4"/>
  <c r="J130" i="6"/>
  <c r="L130" i="6" s="1"/>
  <c r="M130" i="6" s="1"/>
  <c r="W130" i="4"/>
  <c r="G130" i="5"/>
  <c r="J126" i="5"/>
  <c r="X126" i="4"/>
  <c r="I126" i="5"/>
  <c r="G126" i="5"/>
  <c r="O126" i="5"/>
  <c r="J126" i="6"/>
  <c r="L126" i="6" s="1"/>
  <c r="M126" i="6" s="1"/>
  <c r="W126" i="4"/>
  <c r="I122" i="5"/>
  <c r="X122" i="4"/>
  <c r="J122" i="5"/>
  <c r="O122" i="5" s="1"/>
  <c r="G122" i="5"/>
  <c r="J122" i="6"/>
  <c r="L122" i="6" s="1"/>
  <c r="M122" i="6" s="1"/>
  <c r="W122" i="4"/>
  <c r="J121" i="6"/>
  <c r="L121" i="6" s="1"/>
  <c r="M121" i="6" s="1"/>
  <c r="N121" i="6" s="1"/>
  <c r="O121" i="6" s="1"/>
  <c r="P121" i="6" s="1"/>
  <c r="W121" i="4"/>
  <c r="G121" i="5"/>
  <c r="J121" i="5"/>
  <c r="O121" i="5" s="1"/>
  <c r="X121" i="4"/>
  <c r="I121" i="5"/>
  <c r="J119" i="6"/>
  <c r="L119" i="6" s="1"/>
  <c r="M119" i="6" s="1"/>
  <c r="W119" i="4"/>
  <c r="G119" i="5"/>
  <c r="J119" i="5"/>
  <c r="O119" i="5" s="1"/>
  <c r="X119" i="4"/>
  <c r="I119" i="5"/>
  <c r="N119" i="6"/>
  <c r="O119" i="6" s="1"/>
  <c r="P119" i="6" s="1"/>
  <c r="G118" i="5"/>
  <c r="J118" i="6"/>
  <c r="L118" i="6" s="1"/>
  <c r="M118" i="6" s="1"/>
  <c r="W118" i="4"/>
  <c r="I118" i="5"/>
  <c r="X118" i="4"/>
  <c r="J118" i="5"/>
  <c r="O118" i="5" s="1"/>
  <c r="N118" i="6"/>
  <c r="O118" i="6" s="1"/>
  <c r="P118" i="6" s="1"/>
  <c r="J117" i="6"/>
  <c r="L117" i="6" s="1"/>
  <c r="M117" i="6" s="1"/>
  <c r="W117" i="4"/>
  <c r="G117" i="5"/>
  <c r="J117" i="5"/>
  <c r="O117" i="5" s="1"/>
  <c r="X117" i="4"/>
  <c r="I117" i="5"/>
  <c r="N117" i="6"/>
  <c r="O117" i="6" s="1"/>
  <c r="P117" i="6" s="1"/>
  <c r="I115" i="5"/>
  <c r="X115" i="4"/>
  <c r="J115" i="5"/>
  <c r="O115" i="5"/>
  <c r="J115" i="6"/>
  <c r="L115" i="6" s="1"/>
  <c r="M115" i="6" s="1"/>
  <c r="W115" i="4"/>
  <c r="G115" i="5"/>
  <c r="J113" i="5"/>
  <c r="X113" i="4"/>
  <c r="I113" i="5"/>
  <c r="O113" i="5"/>
  <c r="W113" i="4"/>
  <c r="G113" i="5"/>
  <c r="J113" i="6"/>
  <c r="L113" i="6" s="1"/>
  <c r="M113" i="6" s="1"/>
  <c r="N113" i="6"/>
  <c r="O113" i="6"/>
  <c r="P113" i="6" s="1"/>
  <c r="I101" i="5"/>
  <c r="J101" i="5"/>
  <c r="X101" i="4"/>
  <c r="W101" i="4"/>
  <c r="O101" i="5"/>
  <c r="G101" i="5"/>
  <c r="J101" i="6"/>
  <c r="L101" i="6" s="1"/>
  <c r="M101" i="6" s="1"/>
  <c r="N101" i="6"/>
  <c r="O101" i="6"/>
  <c r="P101" i="6" s="1"/>
  <c r="J100" i="6"/>
  <c r="L100" i="6" s="1"/>
  <c r="M100" i="6" s="1"/>
  <c r="G100" i="5"/>
  <c r="W100" i="4"/>
  <c r="J100" i="5"/>
  <c r="O100" i="5" s="1"/>
  <c r="X100" i="4"/>
  <c r="I100" i="5"/>
  <c r="N100" i="6"/>
  <c r="O100" i="6"/>
  <c r="P100" i="6" s="1"/>
  <c r="J92" i="6"/>
  <c r="L92" i="6" s="1"/>
  <c r="M92" i="6" s="1"/>
  <c r="G92" i="5"/>
  <c r="W92" i="4"/>
  <c r="J92" i="5"/>
  <c r="O92" i="5" s="1"/>
  <c r="I92" i="5"/>
  <c r="X92" i="4"/>
  <c r="G90" i="5"/>
  <c r="J90" i="6"/>
  <c r="L90" i="6" s="1"/>
  <c r="M90" i="6" s="1"/>
  <c r="W90" i="4"/>
  <c r="I90" i="5"/>
  <c r="J90" i="5"/>
  <c r="O90" i="5" s="1"/>
  <c r="X90" i="4"/>
  <c r="X84" i="4"/>
  <c r="I84" i="5"/>
  <c r="J84" i="5"/>
  <c r="G84" i="5"/>
  <c r="O84" i="5"/>
  <c r="J84" i="6"/>
  <c r="L84" i="6" s="1"/>
  <c r="M84" i="6" s="1"/>
  <c r="W84" i="4"/>
  <c r="N84" i="6"/>
  <c r="O84" i="6"/>
  <c r="P84" i="6" s="1"/>
  <c r="J78" i="5"/>
  <c r="X78" i="4"/>
  <c r="I78" i="5"/>
  <c r="O78" i="5"/>
  <c r="J78" i="6"/>
  <c r="L78" i="6" s="1"/>
  <c r="M78" i="6" s="1"/>
  <c r="W78" i="4"/>
  <c r="G78" i="5"/>
  <c r="N78" i="6"/>
  <c r="O78" i="6"/>
  <c r="P78" i="6" s="1"/>
  <c r="I52" i="5"/>
  <c r="X52" i="4"/>
  <c r="J52" i="5"/>
  <c r="O52" i="5"/>
  <c r="W52" i="4"/>
  <c r="G52" i="5"/>
  <c r="J52" i="6"/>
  <c r="L52" i="6" s="1"/>
  <c r="M52" i="6" s="1"/>
  <c r="N52" i="6"/>
  <c r="O52" i="6"/>
  <c r="P52" i="6" s="1"/>
  <c r="G9" i="5"/>
  <c r="J9" i="6"/>
  <c r="L9" i="6" s="1"/>
  <c r="M9" i="6" s="1"/>
  <c r="W9" i="4"/>
  <c r="I9" i="5"/>
  <c r="J9" i="5"/>
  <c r="O9" i="5" s="1"/>
  <c r="X9" i="4"/>
  <c r="N9" i="6"/>
  <c r="O9" i="6"/>
  <c r="P9" i="6" s="1"/>
  <c r="W95" i="4"/>
  <c r="G95" i="5"/>
  <c r="J95" i="6"/>
  <c r="L95" i="6" s="1"/>
  <c r="M95" i="6" s="1"/>
  <c r="X95" i="4"/>
  <c r="I95" i="5"/>
  <c r="J95" i="5"/>
  <c r="O95" i="5" s="1"/>
  <c r="N95" i="6"/>
  <c r="O95" i="6"/>
  <c r="P95" i="6" s="1"/>
  <c r="J88" i="5"/>
  <c r="I88" i="5"/>
  <c r="X88" i="4"/>
  <c r="J88" i="6"/>
  <c r="L88" i="6" s="1"/>
  <c r="M88" i="6" s="1"/>
  <c r="G88" i="5"/>
  <c r="O88" i="5"/>
  <c r="W88" i="4"/>
  <c r="X86" i="4"/>
  <c r="I86" i="5"/>
  <c r="J86" i="5"/>
  <c r="O86" i="5"/>
  <c r="G86" i="5"/>
  <c r="J86" i="6"/>
  <c r="L86" i="6" s="1"/>
  <c r="M86" i="6" s="1"/>
  <c r="W86" i="4"/>
  <c r="N86" i="6"/>
  <c r="O86" i="6"/>
  <c r="P86" i="6" s="1"/>
  <c r="W94" i="4"/>
  <c r="G94" i="5"/>
  <c r="J94" i="6"/>
  <c r="L94" i="6" s="1"/>
  <c r="M94" i="6" s="1"/>
  <c r="J94" i="5"/>
  <c r="O94" i="5" s="1"/>
  <c r="I94" i="5"/>
  <c r="X94" i="4"/>
  <c r="N94" i="6"/>
  <c r="O94" i="6"/>
  <c r="P94" i="6" s="1"/>
  <c r="G85" i="5"/>
  <c r="J85" i="6"/>
  <c r="L85" i="6" s="1"/>
  <c r="M85" i="6" s="1"/>
  <c r="W85" i="4"/>
  <c r="J85" i="5"/>
  <c r="O85" i="5" s="1"/>
  <c r="I85" i="5"/>
  <c r="X85" i="4"/>
  <c r="N85" i="6"/>
  <c r="O85" i="6"/>
  <c r="P85" i="6" s="1"/>
  <c r="J56" i="6"/>
  <c r="L56" i="6" s="1"/>
  <c r="M56" i="6" s="1"/>
  <c r="G56" i="5"/>
  <c r="W56" i="4"/>
  <c r="J56" i="5"/>
  <c r="O56" i="5" s="1"/>
  <c r="I56" i="5"/>
  <c r="X56" i="4"/>
  <c r="G72" i="5"/>
  <c r="J72" i="6"/>
  <c r="L72" i="6" s="1"/>
  <c r="M72" i="6" s="1"/>
  <c r="W72" i="4"/>
  <c r="X72" i="4"/>
  <c r="I72" i="5"/>
  <c r="J72" i="5"/>
  <c r="O72" i="5" s="1"/>
  <c r="N72" i="6"/>
  <c r="O72" i="6"/>
  <c r="P72" i="6" s="1"/>
  <c r="G71" i="5"/>
  <c r="J71" i="6"/>
  <c r="L71" i="6" s="1"/>
  <c r="M71" i="6" s="1"/>
  <c r="W71" i="4"/>
  <c r="J71" i="5"/>
  <c r="O71" i="5" s="1"/>
  <c r="I71" i="5"/>
  <c r="X71" i="4"/>
  <c r="N71" i="6"/>
  <c r="O71" i="6"/>
  <c r="P71" i="6" s="1"/>
  <c r="J70" i="6"/>
  <c r="L70" i="6" s="1"/>
  <c r="M70" i="6" s="1"/>
  <c r="W70" i="4"/>
  <c r="G70" i="5"/>
  <c r="X70" i="4"/>
  <c r="J70" i="5"/>
  <c r="O70" i="5" s="1"/>
  <c r="I70" i="5"/>
  <c r="N70" i="6"/>
  <c r="O70" i="6"/>
  <c r="P70" i="6" s="1"/>
  <c r="I67" i="5"/>
  <c r="X67" i="4"/>
  <c r="J67" i="5"/>
  <c r="J67" i="6"/>
  <c r="L67" i="6" s="1"/>
  <c r="M67" i="6" s="1"/>
  <c r="W67" i="4"/>
  <c r="G67" i="5"/>
  <c r="O67" i="5"/>
  <c r="N67" i="6"/>
  <c r="O67" i="6" s="1"/>
  <c r="P67" i="6" s="1"/>
  <c r="J66" i="5"/>
  <c r="I66" i="5"/>
  <c r="X66" i="4"/>
  <c r="O66" i="5"/>
  <c r="G66" i="5"/>
  <c r="J66" i="6"/>
  <c r="L66" i="6" s="1"/>
  <c r="M66" i="6" s="1"/>
  <c r="W66" i="4"/>
  <c r="G65" i="5"/>
  <c r="J65" i="6"/>
  <c r="L65" i="6" s="1"/>
  <c r="M65" i="6" s="1"/>
  <c r="W65" i="4"/>
  <c r="I65" i="5"/>
  <c r="J65" i="5"/>
  <c r="O65" i="5" s="1"/>
  <c r="X65" i="4"/>
  <c r="N65" i="6"/>
  <c r="O65" i="6" s="1"/>
  <c r="P65" i="6" s="1"/>
  <c r="G64" i="5"/>
  <c r="J64" i="6"/>
  <c r="L64" i="6" s="1"/>
  <c r="M64" i="6" s="1"/>
  <c r="W64" i="4"/>
  <c r="J64" i="5"/>
  <c r="O64" i="5" s="1"/>
  <c r="X64" i="4"/>
  <c r="I64" i="5"/>
  <c r="N64" i="6"/>
  <c r="O64" i="6" s="1"/>
  <c r="P64" i="6" s="1"/>
  <c r="X63" i="4"/>
  <c r="J63" i="5"/>
  <c r="I63" i="5"/>
  <c r="G63" i="5"/>
  <c r="O63" i="5"/>
  <c r="J63" i="6"/>
  <c r="L63" i="6" s="1"/>
  <c r="M63" i="6" s="1"/>
  <c r="N63" i="6" s="1"/>
  <c r="O63" i="6" s="1"/>
  <c r="P63" i="6" s="1"/>
  <c r="W63" i="4"/>
  <c r="G62" i="5"/>
  <c r="J62" i="6"/>
  <c r="L62" i="6" s="1"/>
  <c r="M62" i="6" s="1"/>
  <c r="W62" i="4"/>
  <c r="J62" i="5"/>
  <c r="O62" i="5" s="1"/>
  <c r="I62" i="5"/>
  <c r="X62" i="4"/>
  <c r="N62" i="6"/>
  <c r="O62" i="6" s="1"/>
  <c r="P62" i="6" s="1"/>
  <c r="J53" i="6"/>
  <c r="L53" i="6" s="1"/>
  <c r="M53" i="6" s="1"/>
  <c r="G53" i="5"/>
  <c r="W53" i="4"/>
  <c r="J53" i="5"/>
  <c r="O53" i="5" s="1"/>
  <c r="I53" i="5"/>
  <c r="X53" i="4"/>
  <c r="N53" i="6"/>
  <c r="O53" i="6" s="1"/>
  <c r="P53" i="6" s="1"/>
  <c r="G45" i="5"/>
  <c r="J45" i="6"/>
  <c r="L45" i="6" s="1"/>
  <c r="M45" i="6" s="1"/>
  <c r="W45" i="4"/>
  <c r="I45" i="5"/>
  <c r="J45" i="5"/>
  <c r="O45" i="5" s="1"/>
  <c r="X45" i="4"/>
  <c r="N45" i="6"/>
  <c r="O45" i="6" s="1"/>
  <c r="P45" i="6" s="1"/>
  <c r="G44" i="5"/>
  <c r="J44" i="6"/>
  <c r="L44" i="6" s="1"/>
  <c r="M44" i="6" s="1"/>
  <c r="W44" i="4"/>
  <c r="I44" i="5"/>
  <c r="J44" i="5"/>
  <c r="O44" i="5" s="1"/>
  <c r="X44" i="4"/>
  <c r="G38" i="5"/>
  <c r="J38" i="6"/>
  <c r="L38" i="6" s="1"/>
  <c r="M38" i="6" s="1"/>
  <c r="W38" i="4"/>
  <c r="I38" i="5"/>
  <c r="J38" i="5"/>
  <c r="O38" i="5" s="1"/>
  <c r="X38" i="4"/>
  <c r="N38" i="6"/>
  <c r="O38" i="6" s="1"/>
  <c r="P38" i="6" s="1"/>
  <c r="G30" i="5"/>
  <c r="J30" i="6"/>
  <c r="L30" i="6" s="1"/>
  <c r="M30" i="6" s="1"/>
  <c r="W30" i="4"/>
  <c r="I30" i="5"/>
  <c r="J30" i="5"/>
  <c r="O30" i="5" s="1"/>
  <c r="X30" i="4"/>
  <c r="N30" i="6"/>
  <c r="O30" i="6" s="1"/>
  <c r="P30" i="6" s="1"/>
  <c r="G27" i="5"/>
  <c r="J27" i="6"/>
  <c r="L27" i="6" s="1"/>
  <c r="M27" i="6" s="1"/>
  <c r="W27" i="4"/>
  <c r="I27" i="5"/>
  <c r="J27" i="5"/>
  <c r="O27" i="5" s="1"/>
  <c r="X27" i="4"/>
  <c r="N27" i="6"/>
  <c r="O27" i="6" s="1"/>
  <c r="P27" i="6" s="1"/>
  <c r="G26" i="5"/>
  <c r="J26" i="6"/>
  <c r="L26" i="6" s="1"/>
  <c r="M26" i="6" s="1"/>
  <c r="N26" i="6" s="1"/>
  <c r="O26" i="6" s="1"/>
  <c r="P26" i="6" s="1"/>
  <c r="W26" i="4"/>
  <c r="I26" i="5"/>
  <c r="J26" i="5"/>
  <c r="O26" i="5" s="1"/>
  <c r="X26" i="4"/>
  <c r="G24" i="5"/>
  <c r="J24" i="6"/>
  <c r="L24" i="6" s="1"/>
  <c r="M24" i="6" s="1"/>
  <c r="W24" i="4"/>
  <c r="I24" i="5"/>
  <c r="J24" i="5"/>
  <c r="O24" i="5" s="1"/>
  <c r="X24" i="4"/>
  <c r="G23" i="5"/>
  <c r="J23" i="6"/>
  <c r="L23" i="6" s="1"/>
  <c r="M23" i="6" s="1"/>
  <c r="W23" i="4"/>
  <c r="I23" i="5"/>
  <c r="J23" i="5"/>
  <c r="O23" i="5" s="1"/>
  <c r="X23" i="4"/>
  <c r="N23" i="6"/>
  <c r="O23" i="6" s="1"/>
  <c r="P23" i="6" s="1"/>
  <c r="G22" i="5"/>
  <c r="J22" i="6"/>
  <c r="L22" i="6" s="1"/>
  <c r="M22" i="6" s="1"/>
  <c r="W22" i="4"/>
  <c r="I22" i="5"/>
  <c r="J22" i="5"/>
  <c r="O22" i="5" s="1"/>
  <c r="X22" i="4"/>
  <c r="G20" i="5"/>
  <c r="J20" i="6"/>
  <c r="L20" i="6" s="1"/>
  <c r="M20" i="6" s="1"/>
  <c r="W20" i="4"/>
  <c r="I20" i="5"/>
  <c r="J20" i="5"/>
  <c r="O20" i="5" s="1"/>
  <c r="X20" i="4"/>
  <c r="P189" i="5"/>
  <c r="Q189" i="5" s="1"/>
  <c r="AD189" i="4"/>
  <c r="AE189" i="4" s="1"/>
  <c r="AD184" i="4"/>
  <c r="AE184" i="4" s="1"/>
  <c r="P184" i="5"/>
  <c r="Q184" i="5" s="1"/>
  <c r="Q183" i="5"/>
  <c r="AD182" i="4"/>
  <c r="AE182" i="4" s="1"/>
  <c r="P182" i="5"/>
  <c r="Q182" i="5" s="1"/>
  <c r="P180" i="5"/>
  <c r="Q180" i="5" s="1"/>
  <c r="Q93" i="5"/>
  <c r="Q91" i="5"/>
  <c r="P89" i="5"/>
  <c r="Q89" i="5" s="1"/>
  <c r="P87" i="5"/>
  <c r="Q87" i="5" s="1"/>
  <c r="Q83" i="5"/>
  <c r="P82" i="5"/>
  <c r="Q82" i="5" s="1"/>
  <c r="P81" i="5"/>
  <c r="Q81" i="5" s="1"/>
  <c r="P80" i="5"/>
  <c r="Q80" i="5" s="1"/>
  <c r="P79" i="5"/>
  <c r="Q79" i="5" s="1"/>
  <c r="P76" i="5"/>
  <c r="Q76" i="5" s="1"/>
  <c r="P73" i="5"/>
  <c r="Q73" i="5" s="1"/>
  <c r="M2" i="5"/>
  <c r="N2" i="5"/>
  <c r="N196" i="6"/>
  <c r="O196" i="6" s="1"/>
  <c r="P196" i="6" s="1"/>
  <c r="N172" i="6"/>
  <c r="O172" i="6" s="1"/>
  <c r="P172" i="6" s="1"/>
  <c r="N167" i="6"/>
  <c r="O167" i="6" s="1"/>
  <c r="P167" i="6" s="1"/>
  <c r="N108" i="6"/>
  <c r="O108" i="6" s="1"/>
  <c r="P108" i="6" s="1"/>
  <c r="N104" i="6"/>
  <c r="O104" i="6" s="1"/>
  <c r="P104" i="6" s="1"/>
  <c r="N103" i="6"/>
  <c r="O103" i="6" s="1"/>
  <c r="P103" i="6" s="1"/>
  <c r="N42" i="6"/>
  <c r="O42" i="6" s="1"/>
  <c r="P42" i="6" s="1"/>
  <c r="N41" i="6"/>
  <c r="O41" i="6" s="1"/>
  <c r="P41" i="6" s="1"/>
  <c r="N35" i="6"/>
  <c r="O35" i="6" s="1"/>
  <c r="P35" i="6" s="1"/>
  <c r="N33" i="6"/>
  <c r="O33" i="6" s="1"/>
  <c r="P33" i="6" s="1"/>
  <c r="N32" i="6"/>
  <c r="O32" i="6" s="1"/>
  <c r="P32" i="6" s="1"/>
  <c r="N28" i="6"/>
  <c r="O28" i="6" s="1"/>
  <c r="P28" i="6" s="1"/>
  <c r="N21" i="6"/>
  <c r="O21" i="6" s="1"/>
  <c r="P21" i="6" s="1"/>
  <c r="N19" i="6"/>
  <c r="O19" i="6" s="1"/>
  <c r="P19" i="6" s="1"/>
  <c r="N18" i="6"/>
  <c r="O18" i="6" s="1"/>
  <c r="P18" i="6" s="1"/>
  <c r="AD49" i="4" l="1"/>
  <c r="AE49" i="4" s="1"/>
  <c r="AD48" i="4"/>
  <c r="AE48" i="4" s="1"/>
  <c r="AD43" i="4"/>
  <c r="AE43" i="4" s="1"/>
  <c r="AD15" i="4"/>
  <c r="AE15" i="4" s="1"/>
  <c r="AD13" i="4"/>
  <c r="AE13" i="4" s="1"/>
  <c r="AD8" i="4"/>
  <c r="AE8" i="4" s="1"/>
  <c r="AD40" i="4"/>
  <c r="AE40" i="4" s="1"/>
  <c r="AD39" i="4"/>
  <c r="AE39" i="4" s="1"/>
  <c r="AD37" i="4"/>
  <c r="AE37" i="4" s="1"/>
  <c r="AD36" i="4"/>
  <c r="AE36" i="4" s="1"/>
  <c r="AD34" i="4"/>
  <c r="AE34" i="4" s="1"/>
  <c r="AD31" i="4"/>
  <c r="AE31" i="4" s="1"/>
  <c r="AD25" i="4"/>
  <c r="AE25" i="4" s="1"/>
  <c r="AD17" i="4"/>
  <c r="AE17" i="4" s="1"/>
  <c r="AD16" i="4"/>
  <c r="AE16" i="4" s="1"/>
  <c r="AD14" i="4"/>
  <c r="AE14" i="4" s="1"/>
  <c r="AD12" i="4"/>
  <c r="AE12" i="4" s="1"/>
  <c r="AD10" i="4"/>
  <c r="AE10" i="4" s="1"/>
  <c r="AD7" i="4"/>
  <c r="AE7" i="4" s="1"/>
  <c r="AD6" i="4"/>
  <c r="AE6" i="4" s="1"/>
  <c r="O159" i="6"/>
  <c r="P159" i="6" s="1"/>
  <c r="AA216" i="4"/>
  <c r="Q216" i="6"/>
  <c r="AA138" i="4"/>
  <c r="Q138" i="6"/>
  <c r="AA136" i="4"/>
  <c r="Q136" i="6"/>
  <c r="AA131" i="4"/>
  <c r="Q131" i="6"/>
  <c r="Q54" i="6"/>
  <c r="AB54" i="4" s="1"/>
  <c r="R54" i="6"/>
  <c r="AA54" i="4"/>
  <c r="AA51" i="4"/>
  <c r="Q51" i="6"/>
  <c r="AA50" i="4"/>
  <c r="Q50" i="6"/>
  <c r="Q47" i="6"/>
  <c r="AA47" i="4"/>
  <c r="AB210" i="4"/>
  <c r="R210" i="6"/>
  <c r="AB208" i="4"/>
  <c r="R208" i="6"/>
  <c r="AB207" i="4"/>
  <c r="R207" i="6"/>
  <c r="AB205" i="4"/>
  <c r="R205" i="6"/>
  <c r="AB202" i="4"/>
  <c r="R202" i="6"/>
  <c r="AB198" i="4"/>
  <c r="R198" i="6"/>
  <c r="AB197" i="4"/>
  <c r="R197" i="6"/>
  <c r="AB195" i="4"/>
  <c r="R195" i="6"/>
  <c r="AB194" i="4"/>
  <c r="R194" i="6"/>
  <c r="AB192" i="4"/>
  <c r="R192" i="6"/>
  <c r="AB191" i="4"/>
  <c r="R191" i="6"/>
  <c r="N200" i="6"/>
  <c r="O200" i="6" s="1"/>
  <c r="P200" i="6" s="1"/>
  <c r="N188" i="6"/>
  <c r="O188" i="6" s="1"/>
  <c r="P188" i="6" s="1"/>
  <c r="N132" i="6"/>
  <c r="O132" i="6"/>
  <c r="P132" i="6" s="1"/>
  <c r="N126" i="6"/>
  <c r="O126" i="6" s="1"/>
  <c r="P126" i="6" s="1"/>
  <c r="N122" i="6"/>
  <c r="O122" i="6" s="1"/>
  <c r="P122" i="6" s="1"/>
  <c r="N115" i="6"/>
  <c r="O115" i="6"/>
  <c r="P115" i="6" s="1"/>
  <c r="N56" i="6"/>
  <c r="O56" i="6"/>
  <c r="P56" i="6" s="1"/>
  <c r="N66" i="6"/>
  <c r="O66" i="6"/>
  <c r="P66" i="6" s="1"/>
  <c r="AA179" i="4"/>
  <c r="Q179" i="6"/>
  <c r="AA173" i="4"/>
  <c r="Q173" i="6"/>
  <c r="AA171" i="4"/>
  <c r="Q171" i="6"/>
  <c r="AA170" i="4"/>
  <c r="Q170" i="6"/>
  <c r="Q111" i="6"/>
  <c r="AB111" i="4" s="1"/>
  <c r="R111" i="6"/>
  <c r="AA111" i="4"/>
  <c r="AD111" i="4" s="1"/>
  <c r="AE111" i="4" s="1"/>
  <c r="Q109" i="6"/>
  <c r="AB109" i="4" s="1"/>
  <c r="R109" i="6"/>
  <c r="AA109" i="4"/>
  <c r="AD109" i="4" s="1"/>
  <c r="AE109" i="4" s="1"/>
  <c r="Q105" i="6"/>
  <c r="AB105" i="4" s="1"/>
  <c r="R105" i="6"/>
  <c r="AA105" i="4"/>
  <c r="AD105" i="4" s="1"/>
  <c r="AE105" i="4" s="1"/>
  <c r="Q91" i="6"/>
  <c r="AB91" i="4" s="1"/>
  <c r="R91" i="6"/>
  <c r="AA91" i="4"/>
  <c r="AD91" i="4" s="1"/>
  <c r="AE91" i="4" s="1"/>
  <c r="Q89" i="6"/>
  <c r="AA89" i="4"/>
  <c r="Q55" i="6"/>
  <c r="AA55" i="4"/>
  <c r="F11" i="7"/>
  <c r="K11" i="5"/>
  <c r="Y11" i="4"/>
  <c r="Q11" i="6"/>
  <c r="AB11" i="4" s="1"/>
  <c r="F16" i="7" s="1"/>
  <c r="R11" i="6"/>
  <c r="AA11" i="4"/>
  <c r="F15" i="7" s="1"/>
  <c r="G2" i="5"/>
  <c r="O2" i="5"/>
  <c r="W2" i="4"/>
  <c r="K5" i="5"/>
  <c r="P5" i="5" s="1"/>
  <c r="Y5" i="4"/>
  <c r="J2" i="5"/>
  <c r="N5" i="6"/>
  <c r="O5" i="6" s="1"/>
  <c r="P5" i="6" s="1"/>
  <c r="K181" i="5"/>
  <c r="P181" i="5" s="1"/>
  <c r="Q181" i="5" s="1"/>
  <c r="Y181" i="4"/>
  <c r="Y214" i="4"/>
  <c r="K214" i="5"/>
  <c r="P214" i="5" s="1"/>
  <c r="Q214" i="5" s="1"/>
  <c r="K211" i="5"/>
  <c r="Y211" i="4"/>
  <c r="Q211" i="6"/>
  <c r="AB211" i="4" s="1"/>
  <c r="R211" i="6"/>
  <c r="AA211" i="4"/>
  <c r="K209" i="5"/>
  <c r="Y209" i="4"/>
  <c r="Q209" i="6"/>
  <c r="AB209" i="4" s="1"/>
  <c r="R209" i="6"/>
  <c r="AA209" i="4"/>
  <c r="Y206" i="4"/>
  <c r="K206" i="5"/>
  <c r="P206" i="5" s="1"/>
  <c r="Q206" i="5" s="1"/>
  <c r="Q206" i="6"/>
  <c r="AB206" i="4" s="1"/>
  <c r="R206" i="6"/>
  <c r="AA206" i="4"/>
  <c r="AD206" i="4" s="1"/>
  <c r="AE206" i="4" s="1"/>
  <c r="Y204" i="4"/>
  <c r="K204" i="5"/>
  <c r="P204" i="5" s="1"/>
  <c r="Q204" i="5" s="1"/>
  <c r="Y203" i="4"/>
  <c r="K203" i="5"/>
  <c r="Y201" i="4"/>
  <c r="K201" i="5"/>
  <c r="P201" i="5" s="1"/>
  <c r="Q201" i="5" s="1"/>
  <c r="Q201" i="6"/>
  <c r="AB201" i="4" s="1"/>
  <c r="R201" i="6"/>
  <c r="AA201" i="4"/>
  <c r="K200" i="5"/>
  <c r="P200" i="5" s="1"/>
  <c r="Q200" i="5" s="1"/>
  <c r="Y200" i="4"/>
  <c r="K199" i="5"/>
  <c r="P199" i="5" s="1"/>
  <c r="Q199" i="5" s="1"/>
  <c r="Y199" i="4"/>
  <c r="AD199" i="4" s="1"/>
  <c r="AE199" i="4" s="1"/>
  <c r="Q199" i="6"/>
  <c r="AB199" i="4" s="1"/>
  <c r="R199" i="6"/>
  <c r="AA199" i="4"/>
  <c r="K193" i="5"/>
  <c r="P193" i="5" s="1"/>
  <c r="Q193" i="5" s="1"/>
  <c r="Y193" i="4"/>
  <c r="AD193" i="4" s="1"/>
  <c r="AE193" i="4" s="1"/>
  <c r="Q193" i="6"/>
  <c r="AB193" i="4" s="1"/>
  <c r="R193" i="6"/>
  <c r="AA193" i="4"/>
  <c r="Y190" i="4"/>
  <c r="AD190" i="4" s="1"/>
  <c r="AE190" i="4" s="1"/>
  <c r="K190" i="5"/>
  <c r="P190" i="5" s="1"/>
  <c r="Q190" i="5" s="1"/>
  <c r="Q190" i="6"/>
  <c r="AB190" i="4" s="1"/>
  <c r="R190" i="6"/>
  <c r="AA190" i="4"/>
  <c r="K188" i="5"/>
  <c r="P188" i="5" s="1"/>
  <c r="Q188" i="5" s="1"/>
  <c r="Y188" i="4"/>
  <c r="Y186" i="4"/>
  <c r="AD186" i="4" s="1"/>
  <c r="AE186" i="4" s="1"/>
  <c r="K186" i="5"/>
  <c r="P186" i="5" s="1"/>
  <c r="Q186" i="5" s="1"/>
  <c r="Q186" i="6"/>
  <c r="AB186" i="4" s="1"/>
  <c r="R186" i="6"/>
  <c r="AA186" i="4"/>
  <c r="Y185" i="4"/>
  <c r="AD185" i="4" s="1"/>
  <c r="AE185" i="4" s="1"/>
  <c r="K185" i="5"/>
  <c r="P185" i="5" s="1"/>
  <c r="Q185" i="5" s="1"/>
  <c r="Q185" i="6"/>
  <c r="AB185" i="4" s="1"/>
  <c r="R185" i="6"/>
  <c r="AA185" i="4"/>
  <c r="K178" i="5"/>
  <c r="P178" i="5" s="1"/>
  <c r="Q178" i="5" s="1"/>
  <c r="Y178" i="4"/>
  <c r="N178" i="6"/>
  <c r="O178" i="6" s="1"/>
  <c r="P178" i="6" s="1"/>
  <c r="K177" i="5"/>
  <c r="P177" i="5" s="1"/>
  <c r="Q177" i="5" s="1"/>
  <c r="Y177" i="4"/>
  <c r="AD177" i="4" s="1"/>
  <c r="AE177" i="4" s="1"/>
  <c r="Q177" i="6"/>
  <c r="AA177" i="4"/>
  <c r="K174" i="5"/>
  <c r="P174" i="5" s="1"/>
  <c r="Q174" i="5" s="1"/>
  <c r="Y174" i="4"/>
  <c r="N174" i="6"/>
  <c r="O174" i="6"/>
  <c r="P174" i="6" s="1"/>
  <c r="K166" i="5"/>
  <c r="Y166" i="4"/>
  <c r="Q166" i="6"/>
  <c r="AB166" i="4" s="1"/>
  <c r="R166" i="6"/>
  <c r="AA166" i="4"/>
  <c r="K164" i="5"/>
  <c r="P164" i="5" s="1"/>
  <c r="Q164" i="5" s="1"/>
  <c r="Y164" i="4"/>
  <c r="Q164" i="6"/>
  <c r="AB164" i="4" s="1"/>
  <c r="R164" i="6"/>
  <c r="AA164" i="4"/>
  <c r="Y159" i="4"/>
  <c r="K159" i="5"/>
  <c r="K114" i="5"/>
  <c r="P114" i="5" s="1"/>
  <c r="Y114" i="4"/>
  <c r="Q114" i="6"/>
  <c r="AB114" i="4" s="1"/>
  <c r="R114" i="6"/>
  <c r="AA114" i="4"/>
  <c r="Y110" i="4"/>
  <c r="K110" i="5"/>
  <c r="P110" i="5" s="1"/>
  <c r="Q110" i="5" s="1"/>
  <c r="Q110" i="6"/>
  <c r="AB110" i="4" s="1"/>
  <c r="R110" i="6"/>
  <c r="AA110" i="4"/>
  <c r="N106" i="6"/>
  <c r="O106" i="6" s="1"/>
  <c r="P106" i="6" s="1"/>
  <c r="K106" i="5"/>
  <c r="Y106" i="4"/>
  <c r="Y96" i="4"/>
  <c r="K96" i="5"/>
  <c r="Q96" i="6"/>
  <c r="AB96" i="4" s="1"/>
  <c r="R96" i="6"/>
  <c r="AA96" i="4"/>
  <c r="K77" i="5"/>
  <c r="Y77" i="4"/>
  <c r="Q77" i="6"/>
  <c r="AB77" i="4" s="1"/>
  <c r="R77" i="6"/>
  <c r="AA77" i="4"/>
  <c r="Y75" i="4"/>
  <c r="K75" i="5"/>
  <c r="P75" i="5" s="1"/>
  <c r="Q75" i="6"/>
  <c r="AB75" i="4" s="1"/>
  <c r="R75" i="6"/>
  <c r="AA75" i="4"/>
  <c r="K74" i="5"/>
  <c r="P74" i="5" s="1"/>
  <c r="Y74" i="4"/>
  <c r="Q74" i="6"/>
  <c r="AB74" i="4" s="1"/>
  <c r="R74" i="6"/>
  <c r="AA74" i="4"/>
  <c r="Y59" i="4"/>
  <c r="K59" i="5"/>
  <c r="Q59" i="6"/>
  <c r="AB59" i="4" s="1"/>
  <c r="R59" i="6"/>
  <c r="AA59" i="4"/>
  <c r="K144" i="5"/>
  <c r="Y144" i="4"/>
  <c r="Q144" i="6"/>
  <c r="AB144" i="4" s="1"/>
  <c r="R144" i="6"/>
  <c r="AA144" i="4"/>
  <c r="Y137" i="4"/>
  <c r="K137" i="5"/>
  <c r="Q137" i="6"/>
  <c r="AB137" i="4" s="1"/>
  <c r="R137" i="6"/>
  <c r="AA137" i="4"/>
  <c r="K134" i="5"/>
  <c r="Y134" i="4"/>
  <c r="Q134" i="6"/>
  <c r="AB134" i="4" s="1"/>
  <c r="R134" i="6"/>
  <c r="AA134" i="4"/>
  <c r="K133" i="5"/>
  <c r="P133" i="5" s="1"/>
  <c r="Q133" i="5" s="1"/>
  <c r="Y133" i="4"/>
  <c r="Q133" i="6"/>
  <c r="AB133" i="4" s="1"/>
  <c r="R133" i="6"/>
  <c r="AA133" i="4"/>
  <c r="K132" i="5"/>
  <c r="P132" i="5" s="1"/>
  <c r="Y132" i="4"/>
  <c r="K130" i="5"/>
  <c r="Y130" i="4"/>
  <c r="Y126" i="4"/>
  <c r="K126" i="5"/>
  <c r="P126" i="5" s="1"/>
  <c r="Q126" i="5" s="1"/>
  <c r="K122" i="5"/>
  <c r="P122" i="5" s="1"/>
  <c r="Q122" i="5" s="1"/>
  <c r="Y122" i="4"/>
  <c r="Y121" i="4"/>
  <c r="K121" i="5"/>
  <c r="Q121" i="6"/>
  <c r="AB121" i="4" s="1"/>
  <c r="R121" i="6"/>
  <c r="AA121" i="4"/>
  <c r="Y119" i="4"/>
  <c r="K119" i="5"/>
  <c r="Q119" i="6"/>
  <c r="AB119" i="4" s="1"/>
  <c r="R119" i="6"/>
  <c r="AA119" i="4"/>
  <c r="K118" i="5"/>
  <c r="Y118" i="4"/>
  <c r="Q118" i="6"/>
  <c r="AB118" i="4" s="1"/>
  <c r="R118" i="6"/>
  <c r="AA118" i="4"/>
  <c r="Y117" i="4"/>
  <c r="K117" i="5"/>
  <c r="Q117" i="6"/>
  <c r="AB117" i="4" s="1"/>
  <c r="R117" i="6"/>
  <c r="AA117" i="4"/>
  <c r="K115" i="5"/>
  <c r="P115" i="5" s="1"/>
  <c r="Y115" i="4"/>
  <c r="Q115" i="6"/>
  <c r="AB115" i="4" s="1"/>
  <c r="R115" i="6"/>
  <c r="AA115" i="4"/>
  <c r="Y113" i="4"/>
  <c r="K113" i="5"/>
  <c r="P113" i="5" s="1"/>
  <c r="Q113" i="6"/>
  <c r="AB113" i="4" s="1"/>
  <c r="R113" i="6"/>
  <c r="AA113" i="4"/>
  <c r="Y101" i="4"/>
  <c r="K101" i="5"/>
  <c r="P101" i="5" s="1"/>
  <c r="Q101" i="6"/>
  <c r="AB101" i="4" s="1"/>
  <c r="R101" i="6"/>
  <c r="AA101" i="4"/>
  <c r="Y100" i="4"/>
  <c r="K100" i="5"/>
  <c r="Q100" i="6"/>
  <c r="AB100" i="4" s="1"/>
  <c r="R100" i="6"/>
  <c r="AA100" i="4"/>
  <c r="N92" i="6"/>
  <c r="O92" i="6" s="1"/>
  <c r="P92" i="6" s="1"/>
  <c r="K92" i="5"/>
  <c r="P92" i="5" s="1"/>
  <c r="Q92" i="5" s="1"/>
  <c r="Y92" i="4"/>
  <c r="N90" i="6"/>
  <c r="O90" i="6" s="1"/>
  <c r="P90" i="6" s="1"/>
  <c r="Y90" i="4"/>
  <c r="K90" i="5"/>
  <c r="Y84" i="4"/>
  <c r="K84" i="5"/>
  <c r="P84" i="5" s="1"/>
  <c r="Q84" i="5" s="1"/>
  <c r="Q84" i="6"/>
  <c r="AB84" i="4" s="1"/>
  <c r="R84" i="6"/>
  <c r="AA84" i="4"/>
  <c r="Y78" i="4"/>
  <c r="K78" i="5"/>
  <c r="P78" i="5" s="1"/>
  <c r="Q78" i="6"/>
  <c r="AB78" i="4" s="1"/>
  <c r="R78" i="6"/>
  <c r="AA78" i="4"/>
  <c r="K52" i="5"/>
  <c r="P52" i="5" s="1"/>
  <c r="Y52" i="4"/>
  <c r="Q52" i="6"/>
  <c r="AB52" i="4" s="1"/>
  <c r="R52" i="6"/>
  <c r="AA52" i="4"/>
  <c r="K9" i="5"/>
  <c r="Y9" i="4"/>
  <c r="Q9" i="6"/>
  <c r="AB9" i="4" s="1"/>
  <c r="R9" i="6"/>
  <c r="AA9" i="4"/>
  <c r="Y95" i="4"/>
  <c r="K95" i="5"/>
  <c r="Q95" i="6"/>
  <c r="AB95" i="4" s="1"/>
  <c r="R95" i="6"/>
  <c r="AA95" i="4"/>
  <c r="K88" i="5"/>
  <c r="P88" i="5" s="1"/>
  <c r="Q88" i="5" s="1"/>
  <c r="Y88" i="4"/>
  <c r="N88" i="6"/>
  <c r="O88" i="6" s="1"/>
  <c r="P88" i="6" s="1"/>
  <c r="Y86" i="4"/>
  <c r="K86" i="5"/>
  <c r="P86" i="5" s="1"/>
  <c r="Q86" i="6"/>
  <c r="AB86" i="4" s="1"/>
  <c r="R86" i="6"/>
  <c r="AA86" i="4"/>
  <c r="K94" i="5"/>
  <c r="Y94" i="4"/>
  <c r="Q94" i="6"/>
  <c r="AB94" i="4" s="1"/>
  <c r="R94" i="6"/>
  <c r="AA94" i="4"/>
  <c r="K85" i="5"/>
  <c r="Y85" i="4"/>
  <c r="AD85" i="4" s="1"/>
  <c r="AE85" i="4" s="1"/>
  <c r="Q85" i="6"/>
  <c r="AB85" i="4" s="1"/>
  <c r="R85" i="6"/>
  <c r="AA85" i="4"/>
  <c r="K56" i="5"/>
  <c r="P56" i="5" s="1"/>
  <c r="Q56" i="5" s="1"/>
  <c r="Y56" i="4"/>
  <c r="K72" i="5"/>
  <c r="P72" i="5" s="1"/>
  <c r="Q72" i="5" s="1"/>
  <c r="Y72" i="4"/>
  <c r="AD72" i="4" s="1"/>
  <c r="AE72" i="4" s="1"/>
  <c r="Q72" i="6"/>
  <c r="AB72" i="4" s="1"/>
  <c r="R72" i="6"/>
  <c r="AA72" i="4"/>
  <c r="K71" i="5"/>
  <c r="P71" i="5" s="1"/>
  <c r="Q71" i="5" s="1"/>
  <c r="Y71" i="4"/>
  <c r="AD71" i="4" s="1"/>
  <c r="AE71" i="4" s="1"/>
  <c r="Q71" i="6"/>
  <c r="AB71" i="4" s="1"/>
  <c r="R71" i="6"/>
  <c r="AA71" i="4"/>
  <c r="K70" i="5"/>
  <c r="P70" i="5" s="1"/>
  <c r="Q70" i="5" s="1"/>
  <c r="Y70" i="4"/>
  <c r="AD70" i="4" s="1"/>
  <c r="AE70" i="4" s="1"/>
  <c r="Q70" i="6"/>
  <c r="AB70" i="4" s="1"/>
  <c r="R70" i="6"/>
  <c r="AA70" i="4"/>
  <c r="K67" i="5"/>
  <c r="P67" i="5" s="1"/>
  <c r="Q67" i="5" s="1"/>
  <c r="Y67" i="4"/>
  <c r="Q67" i="6"/>
  <c r="AB67" i="4" s="1"/>
  <c r="R67" i="6"/>
  <c r="AA67" i="4"/>
  <c r="K66" i="5"/>
  <c r="P66" i="5" s="1"/>
  <c r="Q66" i="5" s="1"/>
  <c r="Y66" i="4"/>
  <c r="Y65" i="4"/>
  <c r="K65" i="5"/>
  <c r="P65" i="5" s="1"/>
  <c r="Q65" i="5" s="1"/>
  <c r="Q65" i="6"/>
  <c r="AB65" i="4" s="1"/>
  <c r="R65" i="6"/>
  <c r="AA65" i="4"/>
  <c r="Y64" i="4"/>
  <c r="K64" i="5"/>
  <c r="P64" i="5" s="1"/>
  <c r="Q64" i="5" s="1"/>
  <c r="AA64" i="4"/>
  <c r="Q64" i="6"/>
  <c r="K63" i="5"/>
  <c r="P63" i="5" s="1"/>
  <c r="Q63" i="5" s="1"/>
  <c r="Y63" i="4"/>
  <c r="Q63" i="6"/>
  <c r="AB63" i="4" s="1"/>
  <c r="R63" i="6"/>
  <c r="AA63" i="4"/>
  <c r="K62" i="5"/>
  <c r="P62" i="5" s="1"/>
  <c r="Q62" i="5" s="1"/>
  <c r="Y62" i="4"/>
  <c r="Q62" i="6"/>
  <c r="AA62" i="4"/>
  <c r="K53" i="5"/>
  <c r="Y53" i="4"/>
  <c r="Q53" i="6"/>
  <c r="AB53" i="4" s="1"/>
  <c r="R53" i="6"/>
  <c r="AA53" i="4"/>
  <c r="K45" i="5"/>
  <c r="P45" i="5" s="1"/>
  <c r="Q45" i="5" s="1"/>
  <c r="Y45" i="4"/>
  <c r="Q45" i="6"/>
  <c r="AB45" i="4" s="1"/>
  <c r="R45" i="6"/>
  <c r="AA45" i="4"/>
  <c r="K44" i="5"/>
  <c r="P44" i="5" s="1"/>
  <c r="Q44" i="5" s="1"/>
  <c r="Y44" i="4"/>
  <c r="K38" i="5"/>
  <c r="Y38" i="4"/>
  <c r="Q38" i="6"/>
  <c r="AA38" i="4"/>
  <c r="K30" i="5"/>
  <c r="Y30" i="4"/>
  <c r="Q30" i="6"/>
  <c r="AA30" i="4"/>
  <c r="K27" i="5"/>
  <c r="Y27" i="4"/>
  <c r="Q27" i="6"/>
  <c r="AA27" i="4"/>
  <c r="K26" i="5"/>
  <c r="P26" i="5" s="1"/>
  <c r="Q26" i="5" s="1"/>
  <c r="Y26" i="4"/>
  <c r="Q26" i="6"/>
  <c r="AB26" i="4" s="1"/>
  <c r="R26" i="6"/>
  <c r="AA26" i="4"/>
  <c r="K24" i="5"/>
  <c r="Y24" i="4"/>
  <c r="K23" i="5"/>
  <c r="P23" i="5" s="1"/>
  <c r="Q23" i="5" s="1"/>
  <c r="Y23" i="4"/>
  <c r="Q23" i="6"/>
  <c r="AA23" i="4"/>
  <c r="K22" i="5"/>
  <c r="P22" i="5" s="1"/>
  <c r="Q22" i="5" s="1"/>
  <c r="Y22" i="4"/>
  <c r="K20" i="5"/>
  <c r="P20" i="5" s="1"/>
  <c r="Q20" i="5" s="1"/>
  <c r="Y20" i="4"/>
  <c r="AA196" i="4"/>
  <c r="Q196" i="6"/>
  <c r="Q172" i="6"/>
  <c r="AA172" i="4"/>
  <c r="AA167" i="4"/>
  <c r="Q167" i="6"/>
  <c r="AA108" i="4"/>
  <c r="Q108" i="6"/>
  <c r="AA104" i="4"/>
  <c r="Q104" i="6"/>
  <c r="AA103" i="4"/>
  <c r="Q103" i="6"/>
  <c r="AA42" i="4"/>
  <c r="Q42" i="6"/>
  <c r="AA41" i="4"/>
  <c r="Q41" i="6"/>
  <c r="AA35" i="4"/>
  <c r="Q35" i="6"/>
  <c r="AA33" i="4"/>
  <c r="Q33" i="6"/>
  <c r="AA32" i="4"/>
  <c r="Q32" i="6"/>
  <c r="AA28" i="4"/>
  <c r="Q28" i="6"/>
  <c r="AA21" i="4"/>
  <c r="Q21" i="6"/>
  <c r="AA19" i="4"/>
  <c r="Q19" i="6"/>
  <c r="AA18" i="4"/>
  <c r="Q18" i="6"/>
  <c r="AD216" i="4"/>
  <c r="AE216" i="4" s="1"/>
  <c r="AD208" i="4"/>
  <c r="AE208" i="4" s="1"/>
  <c r="AD205" i="4"/>
  <c r="AE205" i="4" s="1"/>
  <c r="AD198" i="4"/>
  <c r="AE198" i="4" s="1"/>
  <c r="AD197" i="4"/>
  <c r="AE197" i="4" s="1"/>
  <c r="AD195" i="4"/>
  <c r="AE195" i="4" s="1"/>
  <c r="AD192" i="4"/>
  <c r="AE192" i="4" s="1"/>
  <c r="AD187" i="4"/>
  <c r="AE187" i="4" s="1"/>
  <c r="AD183" i="4"/>
  <c r="AE183" i="4" s="1"/>
  <c r="AD175" i="4"/>
  <c r="AE175" i="4" s="1"/>
  <c r="AD165" i="4"/>
  <c r="AE165" i="4" s="1"/>
  <c r="AD156" i="4"/>
  <c r="AE156" i="4" s="1"/>
  <c r="AD154" i="4"/>
  <c r="AE154" i="4" s="1"/>
  <c r="AD150" i="4"/>
  <c r="AE150" i="4" s="1"/>
  <c r="AD148" i="4"/>
  <c r="AE148" i="4" s="1"/>
  <c r="AD141" i="4"/>
  <c r="AE141" i="4" s="1"/>
  <c r="AD139" i="4"/>
  <c r="AE139" i="4" s="1"/>
  <c r="AD136" i="4"/>
  <c r="AE136" i="4" s="1"/>
  <c r="AD128" i="4"/>
  <c r="AE128" i="4" s="1"/>
  <c r="AD125" i="4"/>
  <c r="AE125" i="4" s="1"/>
  <c r="AD116" i="4"/>
  <c r="AE116" i="4" s="1"/>
  <c r="AD93" i="4"/>
  <c r="AE93" i="4" s="1"/>
  <c r="AD83" i="4"/>
  <c r="AE83" i="4" s="1"/>
  <c r="AD69" i="4"/>
  <c r="AE69" i="4" s="1"/>
  <c r="AD54" i="4"/>
  <c r="AE54" i="4" s="1"/>
  <c r="AD155" i="4"/>
  <c r="AE155" i="4" s="1"/>
  <c r="AD149" i="4"/>
  <c r="AE149" i="4" s="1"/>
  <c r="AD147" i="4"/>
  <c r="AE147" i="4" s="1"/>
  <c r="AD146" i="4"/>
  <c r="AE146" i="4" s="1"/>
  <c r="AD123" i="4"/>
  <c r="AE123" i="4" s="1"/>
  <c r="AD97" i="4"/>
  <c r="AE97" i="4" s="1"/>
  <c r="AD68" i="4"/>
  <c r="AE68" i="4" s="1"/>
  <c r="AD60" i="4"/>
  <c r="AE60" i="4" s="1"/>
  <c r="AD58" i="4"/>
  <c r="AE58" i="4" s="1"/>
  <c r="AD57" i="4"/>
  <c r="AE57" i="4" s="1"/>
  <c r="AD46" i="4"/>
  <c r="AE46" i="4" s="1"/>
  <c r="AD211" i="4"/>
  <c r="AE211" i="4" s="1"/>
  <c r="AD209" i="4"/>
  <c r="AE209" i="4" s="1"/>
  <c r="P209" i="5"/>
  <c r="Q209" i="5" s="1"/>
  <c r="P166" i="5"/>
  <c r="Q166" i="5" s="1"/>
  <c r="AD166" i="4"/>
  <c r="AE166" i="4" s="1"/>
  <c r="P159" i="5"/>
  <c r="Q159" i="5" s="1"/>
  <c r="P30" i="5"/>
  <c r="Q30" i="5" s="1"/>
  <c r="P27" i="5"/>
  <c r="Q27" i="5" s="1"/>
  <c r="AD23" i="4"/>
  <c r="AE23" i="4" s="1"/>
  <c r="I2" i="5"/>
  <c r="P203" i="5"/>
  <c r="Q203" i="5" s="1"/>
  <c r="Q114" i="5"/>
  <c r="P106" i="5"/>
  <c r="Q106" i="5" s="1"/>
  <c r="AD96" i="4"/>
  <c r="AE96" i="4" s="1"/>
  <c r="P96" i="5"/>
  <c r="Q96" i="5" s="1"/>
  <c r="AD77" i="4"/>
  <c r="AE77" i="4" s="1"/>
  <c r="P77" i="5"/>
  <c r="Q77" i="5" s="1"/>
  <c r="Q75" i="5"/>
  <c r="Q74" i="5"/>
  <c r="AD59" i="4"/>
  <c r="AE59" i="4" s="1"/>
  <c r="P59" i="5"/>
  <c r="Q59" i="5" s="1"/>
  <c r="P144" i="5"/>
  <c r="Q144" i="5" s="1"/>
  <c r="AD144" i="4"/>
  <c r="AE144" i="4" s="1"/>
  <c r="P137" i="5"/>
  <c r="Q137" i="5" s="1"/>
  <c r="AD137" i="4"/>
  <c r="AE137" i="4" s="1"/>
  <c r="AD134" i="4"/>
  <c r="AE134" i="4" s="1"/>
  <c r="P134" i="5"/>
  <c r="Q134" i="5" s="1"/>
  <c r="Q132" i="5"/>
  <c r="P53" i="5"/>
  <c r="Q53" i="5" s="1"/>
  <c r="AD53" i="4"/>
  <c r="AE53" i="4" s="1"/>
  <c r="AD45" i="4"/>
  <c r="AE45" i="4" s="1"/>
  <c r="P38" i="5"/>
  <c r="Q38" i="5" s="1"/>
  <c r="AD38" i="4"/>
  <c r="AE38" i="4" s="1"/>
  <c r="AD26" i="4"/>
  <c r="AE26" i="4" s="1"/>
  <c r="P24" i="5"/>
  <c r="Q24" i="5" s="1"/>
  <c r="P11" i="5"/>
  <c r="Q11" i="5" s="1"/>
  <c r="P211" i="5"/>
  <c r="Q211" i="5" s="1"/>
  <c r="P130" i="5"/>
  <c r="Q130" i="5" s="1"/>
  <c r="AD121" i="4"/>
  <c r="AE121" i="4" s="1"/>
  <c r="P121" i="5"/>
  <c r="Q121" i="5" s="1"/>
  <c r="AD119" i="4"/>
  <c r="AE119" i="4" s="1"/>
  <c r="P119" i="5"/>
  <c r="Q119" i="5" s="1"/>
  <c r="P118" i="5"/>
  <c r="Q118" i="5" s="1"/>
  <c r="AD118" i="4"/>
  <c r="AE118" i="4" s="1"/>
  <c r="AD117" i="4"/>
  <c r="AE117" i="4" s="1"/>
  <c r="P117" i="5"/>
  <c r="Q117" i="5" s="1"/>
  <c r="Q115" i="5"/>
  <c r="Q113" i="5"/>
  <c r="Q101" i="5"/>
  <c r="P100" i="5"/>
  <c r="Q100" i="5" s="1"/>
  <c r="AD100" i="4"/>
  <c r="AE100" i="4" s="1"/>
  <c r="P90" i="5"/>
  <c r="Q90" i="5" s="1"/>
  <c r="Q78" i="5"/>
  <c r="Q52" i="5"/>
  <c r="P9" i="5"/>
  <c r="Q9" i="5" s="1"/>
  <c r="AD9" i="4"/>
  <c r="AE9" i="4" s="1"/>
  <c r="AD95" i="4"/>
  <c r="AE95" i="4" s="1"/>
  <c r="P95" i="5"/>
  <c r="Q95" i="5" s="1"/>
  <c r="Q86" i="5"/>
  <c r="AD94" i="4"/>
  <c r="AE94" i="4" s="1"/>
  <c r="P94" i="5"/>
  <c r="Q94" i="5" s="1"/>
  <c r="P85" i="5"/>
  <c r="Q85" i="5" s="1"/>
  <c r="X2" i="4"/>
  <c r="AB180" i="4"/>
  <c r="AD180" i="4" s="1"/>
  <c r="AE180" i="4" s="1"/>
  <c r="R180" i="6"/>
  <c r="AB168" i="4"/>
  <c r="AD168" i="4" s="1"/>
  <c r="AE168" i="4" s="1"/>
  <c r="R168" i="6"/>
  <c r="AB154" i="4"/>
  <c r="R154" i="6"/>
  <c r="AB152" i="4"/>
  <c r="AD152" i="4" s="1"/>
  <c r="AE152" i="4" s="1"/>
  <c r="R152" i="6"/>
  <c r="AB151" i="4"/>
  <c r="AD151" i="4" s="1"/>
  <c r="AE151" i="4" s="1"/>
  <c r="R151" i="6"/>
  <c r="AB150" i="4"/>
  <c r="R150" i="6"/>
  <c r="AB149" i="4"/>
  <c r="R149" i="6"/>
  <c r="AB148" i="4"/>
  <c r="R148" i="6"/>
  <c r="AB146" i="4"/>
  <c r="R146" i="6"/>
  <c r="AB145" i="4"/>
  <c r="AD145" i="4" s="1"/>
  <c r="AE145" i="4" s="1"/>
  <c r="R145" i="6"/>
  <c r="AB143" i="4"/>
  <c r="AD143" i="4" s="1"/>
  <c r="AE143" i="4" s="1"/>
  <c r="R143" i="6"/>
  <c r="AB142" i="4"/>
  <c r="AD142" i="4" s="1"/>
  <c r="AE142" i="4" s="1"/>
  <c r="R142" i="6"/>
  <c r="AB141" i="4"/>
  <c r="R141" i="6"/>
  <c r="AB140" i="4"/>
  <c r="AD140" i="4" s="1"/>
  <c r="AE140" i="4" s="1"/>
  <c r="R140" i="6"/>
  <c r="AB139" i="4"/>
  <c r="R139" i="6"/>
  <c r="AB135" i="4"/>
  <c r="AD135" i="4" s="1"/>
  <c r="AE135" i="4" s="1"/>
  <c r="R135" i="6"/>
  <c r="AB129" i="4"/>
  <c r="AD129" i="4" s="1"/>
  <c r="AE129" i="4" s="1"/>
  <c r="R129" i="6"/>
  <c r="AB128" i="4"/>
  <c r="R128" i="6"/>
  <c r="AB127" i="4"/>
  <c r="AD127" i="4" s="1"/>
  <c r="AE127" i="4" s="1"/>
  <c r="R127" i="6"/>
  <c r="AB125" i="4"/>
  <c r="R125" i="6"/>
  <c r="AB124" i="4"/>
  <c r="AD124" i="4" s="1"/>
  <c r="AE124" i="4" s="1"/>
  <c r="R124" i="6"/>
  <c r="AB123" i="4"/>
  <c r="R123" i="6"/>
  <c r="AB120" i="4"/>
  <c r="AD120" i="4" s="1"/>
  <c r="AE120" i="4" s="1"/>
  <c r="R120" i="6"/>
  <c r="AB116" i="4"/>
  <c r="R116" i="6"/>
  <c r="AB112" i="4"/>
  <c r="AD112" i="4" s="1"/>
  <c r="AE112" i="4" s="1"/>
  <c r="R112" i="6"/>
  <c r="AB107" i="4"/>
  <c r="AD107" i="4" s="1"/>
  <c r="AE107" i="4" s="1"/>
  <c r="R107" i="6"/>
  <c r="AB102" i="4"/>
  <c r="AD102" i="4" s="1"/>
  <c r="AE102" i="4" s="1"/>
  <c r="R102" i="6"/>
  <c r="AB99" i="4"/>
  <c r="AD99" i="4" s="1"/>
  <c r="AE99" i="4" s="1"/>
  <c r="R99" i="6"/>
  <c r="AB98" i="4"/>
  <c r="AD98" i="4" s="1"/>
  <c r="AE98" i="4" s="1"/>
  <c r="R98" i="6"/>
  <c r="AB93" i="4"/>
  <c r="R93" i="6"/>
  <c r="AB87" i="4"/>
  <c r="AD87" i="4" s="1"/>
  <c r="AE87" i="4" s="1"/>
  <c r="R87" i="6"/>
  <c r="AB82" i="4"/>
  <c r="AD82" i="4" s="1"/>
  <c r="AE82" i="4" s="1"/>
  <c r="R82" i="6"/>
  <c r="AB81" i="4"/>
  <c r="AD81" i="4" s="1"/>
  <c r="AE81" i="4" s="1"/>
  <c r="R81" i="6"/>
  <c r="AB80" i="4"/>
  <c r="AD80" i="4" s="1"/>
  <c r="AE80" i="4" s="1"/>
  <c r="R80" i="6"/>
  <c r="AB79" i="4"/>
  <c r="AD79" i="4" s="1"/>
  <c r="AE79" i="4" s="1"/>
  <c r="R79" i="6"/>
  <c r="AB76" i="4"/>
  <c r="AD76" i="4" s="1"/>
  <c r="AE76" i="4" s="1"/>
  <c r="R76" i="6"/>
  <c r="AB73" i="4"/>
  <c r="AD73" i="4" s="1"/>
  <c r="AE73" i="4" s="1"/>
  <c r="R73" i="6"/>
  <c r="AB69" i="4"/>
  <c r="R69" i="6"/>
  <c r="AB68" i="4"/>
  <c r="R68" i="6"/>
  <c r="AB60" i="4"/>
  <c r="R60" i="6"/>
  <c r="AB58" i="4"/>
  <c r="R58" i="6"/>
  <c r="AB57" i="4"/>
  <c r="R57" i="6"/>
  <c r="AB49" i="4"/>
  <c r="R49" i="6"/>
  <c r="AB48" i="4"/>
  <c r="R48" i="6"/>
  <c r="AB46" i="4"/>
  <c r="R46" i="6"/>
  <c r="AB43" i="4"/>
  <c r="R43" i="6"/>
  <c r="AB40" i="4"/>
  <c r="R40" i="6"/>
  <c r="AB39" i="4"/>
  <c r="R39" i="6"/>
  <c r="AB37" i="4"/>
  <c r="R37" i="6"/>
  <c r="AB36" i="4"/>
  <c r="R36" i="6"/>
  <c r="AB34" i="4"/>
  <c r="R34" i="6"/>
  <c r="AB31" i="4"/>
  <c r="R31" i="6"/>
  <c r="AB29" i="4"/>
  <c r="AD29" i="4" s="1"/>
  <c r="AE29" i="4" s="1"/>
  <c r="R29" i="6"/>
  <c r="AB25" i="4"/>
  <c r="R25" i="6"/>
  <c r="AB17" i="4"/>
  <c r="R17" i="6"/>
  <c r="AB16" i="4"/>
  <c r="R16" i="6"/>
  <c r="AB15" i="4"/>
  <c r="R15" i="6"/>
  <c r="AB14" i="4"/>
  <c r="R14" i="6"/>
  <c r="AB13" i="4"/>
  <c r="R13" i="6"/>
  <c r="AB12" i="4"/>
  <c r="R12" i="6"/>
  <c r="AB10" i="4"/>
  <c r="R10" i="6"/>
  <c r="AB8" i="4"/>
  <c r="R8" i="6"/>
  <c r="AB7" i="4"/>
  <c r="R7" i="6"/>
  <c r="AB6" i="4"/>
  <c r="R6" i="6"/>
  <c r="N181" i="6"/>
  <c r="O181" i="6" s="1"/>
  <c r="P181" i="6" s="1"/>
  <c r="N214" i="6"/>
  <c r="O214" i="6" s="1"/>
  <c r="P214" i="6" s="1"/>
  <c r="N204" i="6"/>
  <c r="O204" i="6" s="1"/>
  <c r="P204" i="6" s="1"/>
  <c r="N203" i="6"/>
  <c r="O203" i="6"/>
  <c r="P203" i="6" s="1"/>
  <c r="N130" i="6"/>
  <c r="O130" i="6" s="1"/>
  <c r="P130" i="6" s="1"/>
  <c r="N44" i="6"/>
  <c r="O44" i="6"/>
  <c r="P44" i="6" s="1"/>
  <c r="N24" i="6"/>
  <c r="O24" i="6" s="1"/>
  <c r="P24" i="6" s="1"/>
  <c r="N22" i="6"/>
  <c r="O22" i="6"/>
  <c r="P22" i="6" s="1"/>
  <c r="N20" i="6"/>
  <c r="O20" i="6"/>
  <c r="P20" i="6" s="1"/>
  <c r="AD65" i="4" l="1"/>
  <c r="AE65" i="4" s="1"/>
  <c r="Q159" i="6"/>
  <c r="AB159" i="4" s="1"/>
  <c r="R159" i="6"/>
  <c r="AA159" i="4"/>
  <c r="AD159" i="4" s="1"/>
  <c r="AE159" i="4" s="1"/>
  <c r="AB216" i="4"/>
  <c r="R216" i="6"/>
  <c r="AB138" i="4"/>
  <c r="AD138" i="4" s="1"/>
  <c r="AE138" i="4" s="1"/>
  <c r="R138" i="6"/>
  <c r="AB136" i="4"/>
  <c r="R136" i="6"/>
  <c r="AB131" i="4"/>
  <c r="AD131" i="4" s="1"/>
  <c r="AE131" i="4" s="1"/>
  <c r="R131" i="6"/>
  <c r="AB51" i="4"/>
  <c r="AD51" i="4" s="1"/>
  <c r="AE51" i="4" s="1"/>
  <c r="R51" i="6"/>
  <c r="R50" i="6"/>
  <c r="AB50" i="4"/>
  <c r="AD50" i="4" s="1"/>
  <c r="AE50" i="4" s="1"/>
  <c r="AB47" i="4"/>
  <c r="AD47" i="4" s="1"/>
  <c r="AE47" i="4" s="1"/>
  <c r="R47" i="6"/>
  <c r="AA200" i="4"/>
  <c r="Q200" i="6"/>
  <c r="AA188" i="4"/>
  <c r="Q188" i="6"/>
  <c r="Q132" i="6"/>
  <c r="AB132" i="4" s="1"/>
  <c r="R132" i="6"/>
  <c r="AA132" i="4"/>
  <c r="AA126" i="4"/>
  <c r="Q126" i="6"/>
  <c r="AA122" i="4"/>
  <c r="AD122" i="4" s="1"/>
  <c r="AE122" i="4" s="1"/>
  <c r="Q122" i="6"/>
  <c r="Q56" i="6"/>
  <c r="AA56" i="4"/>
  <c r="AA66" i="4"/>
  <c r="Q66" i="6"/>
  <c r="AB173" i="4"/>
  <c r="R173" i="6"/>
  <c r="AB170" i="4"/>
  <c r="R170" i="6"/>
  <c r="AB89" i="4"/>
  <c r="AD89" i="4" s="1"/>
  <c r="AE89" i="4" s="1"/>
  <c r="R89" i="6"/>
  <c r="AB55" i="4"/>
  <c r="AD55" i="4" s="1"/>
  <c r="AE55" i="4" s="1"/>
  <c r="R55" i="6"/>
  <c r="AB177" i="4"/>
  <c r="R177" i="6"/>
  <c r="AB38" i="4"/>
  <c r="R38" i="6"/>
  <c r="AB23" i="4"/>
  <c r="R23" i="6"/>
  <c r="P2" i="6"/>
  <c r="Q5" i="6"/>
  <c r="R5" i="6" s="1"/>
  <c r="AA5" i="4"/>
  <c r="Q178" i="6"/>
  <c r="AB178" i="4" s="1"/>
  <c r="R178" i="6"/>
  <c r="AA178" i="4"/>
  <c r="AD178" i="4" s="1"/>
  <c r="AE178" i="4" s="1"/>
  <c r="Q174" i="6"/>
  <c r="AB174" i="4" s="1"/>
  <c r="AA174" i="4"/>
  <c r="AD174" i="4" s="1"/>
  <c r="AE174" i="4" s="1"/>
  <c r="R174" i="6"/>
  <c r="Q106" i="6"/>
  <c r="AB106" i="4" s="1"/>
  <c r="R106" i="6"/>
  <c r="AA106" i="4"/>
  <c r="AD106" i="4" s="1"/>
  <c r="AE106" i="4" s="1"/>
  <c r="Q92" i="6"/>
  <c r="AB92" i="4" s="1"/>
  <c r="R92" i="6"/>
  <c r="AA92" i="4"/>
  <c r="AD92" i="4" s="1"/>
  <c r="AE92" i="4" s="1"/>
  <c r="Q90" i="6"/>
  <c r="AB90" i="4" s="1"/>
  <c r="R90" i="6"/>
  <c r="AA90" i="4"/>
  <c r="AD90" i="4" s="1"/>
  <c r="AE90" i="4" s="1"/>
  <c r="Q88" i="6"/>
  <c r="AA88" i="4"/>
  <c r="Q181" i="6"/>
  <c r="AB181" i="4" s="1"/>
  <c r="AA181" i="4"/>
  <c r="R181" i="6"/>
  <c r="AA214" i="4"/>
  <c r="Q214" i="6"/>
  <c r="AA204" i="4"/>
  <c r="Q204" i="6"/>
  <c r="AA203" i="4"/>
  <c r="Q203" i="6"/>
  <c r="AA130" i="4"/>
  <c r="Q130" i="6"/>
  <c r="AA44" i="4"/>
  <c r="Q44" i="6"/>
  <c r="AA24" i="4"/>
  <c r="Q24" i="6"/>
  <c r="AA22" i="4"/>
  <c r="Q22" i="6"/>
  <c r="AA20" i="4"/>
  <c r="Q20" i="6"/>
  <c r="AD201" i="4"/>
  <c r="AE201" i="4" s="1"/>
  <c r="AD200" i="4"/>
  <c r="AE200" i="4" s="1"/>
  <c r="AD164" i="4"/>
  <c r="AE164" i="4" s="1"/>
  <c r="AD114" i="4"/>
  <c r="AE114" i="4" s="1"/>
  <c r="AD110" i="4"/>
  <c r="AE110" i="4" s="1"/>
  <c r="AD75" i="4"/>
  <c r="AE75" i="4" s="1"/>
  <c r="AD74" i="4"/>
  <c r="AE74" i="4" s="1"/>
  <c r="AD133" i="4"/>
  <c r="AE133" i="4" s="1"/>
  <c r="AD132" i="4"/>
  <c r="AE132" i="4" s="1"/>
  <c r="AD115" i="4"/>
  <c r="AE115" i="4" s="1"/>
  <c r="AD113" i="4"/>
  <c r="AE113" i="4" s="1"/>
  <c r="AD101" i="4"/>
  <c r="AE101" i="4" s="1"/>
  <c r="AD84" i="4"/>
  <c r="AE84" i="4" s="1"/>
  <c r="AD78" i="4"/>
  <c r="AE78" i="4" s="1"/>
  <c r="AD52" i="4"/>
  <c r="AE52" i="4" s="1"/>
  <c r="AD86" i="4"/>
  <c r="AE86" i="4" s="1"/>
  <c r="K2" i="5"/>
  <c r="AD67" i="4"/>
  <c r="AE67" i="4" s="1"/>
  <c r="AD63" i="4"/>
  <c r="AE63" i="4" s="1"/>
  <c r="AD173" i="4"/>
  <c r="AE173" i="4" s="1"/>
  <c r="AD170" i="4"/>
  <c r="AE170" i="4" s="1"/>
  <c r="AB179" i="4"/>
  <c r="AD179" i="4" s="1"/>
  <c r="AE179" i="4" s="1"/>
  <c r="R179" i="6"/>
  <c r="AB171" i="4"/>
  <c r="AD171" i="4" s="1"/>
  <c r="AE171" i="4" s="1"/>
  <c r="R171" i="6"/>
  <c r="F13" i="7"/>
  <c r="AD11" i="4"/>
  <c r="Q5" i="5"/>
  <c r="Q2" i="5" s="1"/>
  <c r="P2" i="5"/>
  <c r="Y2" i="4"/>
  <c r="AB56" i="4"/>
  <c r="R56" i="6"/>
  <c r="AB66" i="4"/>
  <c r="AD66" i="4" s="1"/>
  <c r="AE66" i="4" s="1"/>
  <c r="R66" i="6"/>
  <c r="AB64" i="4"/>
  <c r="AD64" i="4" s="1"/>
  <c r="AE64" i="4" s="1"/>
  <c r="R64" i="6"/>
  <c r="AB62" i="4"/>
  <c r="AD62" i="4" s="1"/>
  <c r="AE62" i="4" s="1"/>
  <c r="R62" i="6"/>
  <c r="AB30" i="4"/>
  <c r="AD30" i="4" s="1"/>
  <c r="AE30" i="4" s="1"/>
  <c r="R30" i="6"/>
  <c r="AB27" i="4"/>
  <c r="AD27" i="4" s="1"/>
  <c r="AE27" i="4" s="1"/>
  <c r="R27" i="6"/>
  <c r="AB196" i="4"/>
  <c r="AD196" i="4" s="1"/>
  <c r="AE196" i="4" s="1"/>
  <c r="R196" i="6"/>
  <c r="AB172" i="4"/>
  <c r="AD172" i="4" s="1"/>
  <c r="AE172" i="4" s="1"/>
  <c r="R172" i="6"/>
  <c r="AB167" i="4"/>
  <c r="AD167" i="4" s="1"/>
  <c r="AE167" i="4" s="1"/>
  <c r="R167" i="6"/>
  <c r="AB108" i="4"/>
  <c r="AD108" i="4" s="1"/>
  <c r="AE108" i="4" s="1"/>
  <c r="R108" i="6"/>
  <c r="AB104" i="4"/>
  <c r="AD104" i="4" s="1"/>
  <c r="AE104" i="4" s="1"/>
  <c r="R104" i="6"/>
  <c r="AB103" i="4"/>
  <c r="AD103" i="4" s="1"/>
  <c r="AE103" i="4" s="1"/>
  <c r="R103" i="6"/>
  <c r="AB42" i="4"/>
  <c r="AD42" i="4" s="1"/>
  <c r="AE42" i="4" s="1"/>
  <c r="R42" i="6"/>
  <c r="AB41" i="4"/>
  <c r="AD41" i="4" s="1"/>
  <c r="AE41" i="4" s="1"/>
  <c r="R41" i="6"/>
  <c r="AB35" i="4"/>
  <c r="AD35" i="4" s="1"/>
  <c r="AE35" i="4" s="1"/>
  <c r="R35" i="6"/>
  <c r="AB33" i="4"/>
  <c r="AD33" i="4" s="1"/>
  <c r="AE33" i="4" s="1"/>
  <c r="R33" i="6"/>
  <c r="AB32" i="4"/>
  <c r="AD32" i="4" s="1"/>
  <c r="AE32" i="4" s="1"/>
  <c r="R32" i="6"/>
  <c r="AB28" i="4"/>
  <c r="AD28" i="4" s="1"/>
  <c r="AE28" i="4" s="1"/>
  <c r="R28" i="6"/>
  <c r="AB21" i="4"/>
  <c r="AD21" i="4" s="1"/>
  <c r="AE21" i="4" s="1"/>
  <c r="R21" i="6"/>
  <c r="AB19" i="4"/>
  <c r="AD19" i="4" s="1"/>
  <c r="AE19" i="4" s="1"/>
  <c r="R19" i="6"/>
  <c r="AB18" i="4"/>
  <c r="AD18" i="4" s="1"/>
  <c r="AE18" i="4" s="1"/>
  <c r="R18" i="6"/>
  <c r="AD181" i="4" l="1"/>
  <c r="AE181" i="4" s="1"/>
  <c r="AD56" i="4"/>
  <c r="AE56" i="4" s="1"/>
  <c r="AB200" i="4"/>
  <c r="R200" i="6"/>
  <c r="AB188" i="4"/>
  <c r="AD188" i="4" s="1"/>
  <c r="AE188" i="4" s="1"/>
  <c r="R188" i="6"/>
  <c r="AB126" i="4"/>
  <c r="AD126" i="4" s="1"/>
  <c r="AE126" i="4" s="1"/>
  <c r="R126" i="6"/>
  <c r="AB122" i="4"/>
  <c r="R122" i="6"/>
  <c r="AB88" i="4"/>
  <c r="AD88" i="4" s="1"/>
  <c r="AE88" i="4" s="1"/>
  <c r="R88" i="6"/>
  <c r="AB5" i="4"/>
  <c r="Q2" i="6"/>
  <c r="F21" i="7"/>
  <c r="AE11" i="4"/>
  <c r="E23" i="7" s="1"/>
  <c r="AA2" i="4"/>
  <c r="AB214" i="4"/>
  <c r="AD214" i="4" s="1"/>
  <c r="AE214" i="4" s="1"/>
  <c r="R214" i="6"/>
  <c r="AB204" i="4"/>
  <c r="AD204" i="4" s="1"/>
  <c r="AE204" i="4" s="1"/>
  <c r="R204" i="6"/>
  <c r="AB203" i="4"/>
  <c r="AD203" i="4" s="1"/>
  <c r="AE203" i="4" s="1"/>
  <c r="R203" i="6"/>
  <c r="AB130" i="4"/>
  <c r="AD130" i="4" s="1"/>
  <c r="AE130" i="4" s="1"/>
  <c r="R130" i="6"/>
  <c r="AB44" i="4"/>
  <c r="AD44" i="4" s="1"/>
  <c r="AE44" i="4" s="1"/>
  <c r="R44" i="6"/>
  <c r="AB24" i="4"/>
  <c r="AD24" i="4" s="1"/>
  <c r="AE24" i="4" s="1"/>
  <c r="R24" i="6"/>
  <c r="AB22" i="4"/>
  <c r="AD22" i="4" s="1"/>
  <c r="AE22" i="4" s="1"/>
  <c r="R22" i="6"/>
  <c r="AB20" i="4"/>
  <c r="AD20" i="4" s="1"/>
  <c r="AE20" i="4" s="1"/>
  <c r="R20" i="6"/>
  <c r="AD5" i="4" l="1"/>
  <c r="AB2" i="4"/>
  <c r="R2" i="6"/>
  <c r="AE5" i="4" l="1"/>
  <c r="AE2" i="4" s="1"/>
  <c r="AD2" i="4"/>
</calcChain>
</file>

<file path=xl/sharedStrings.xml><?xml version="1.0" encoding="utf-8"?>
<sst xmlns="http://schemas.openxmlformats.org/spreadsheetml/2006/main" count="324" uniqueCount="243">
  <si>
    <t>㈜신정개발 급여관리 (샘플·가상데이터)</t>
  </si>
  <si>
    <t>급여 대시보드 웹서비스(GitHub → Vercel)의 데이터 원본입니다. 시트/열 구조는 유지하고 파란색 셀의 값만 수정하세요.</t>
  </si>
  <si>
    <t>■ 시트 구성</t>
  </si>
  <si>
    <t xml:space="preserve">  1. 요율기준    : 4대보험 요율·국민연금 상하한·소정근로시간(209h)·연장/야간 가산율·식대/차량 비과세한도. 기준값 변경 시 이 시트만 고치면 전체 재계산.</t>
  </si>
  <si>
    <t xml:space="preserve">  2. 직원정보    : 직원 마스터. 부양가족수(본인 포함, 파란색)는 갑근세 계산에 반영.</t>
  </si>
  <si>
    <t xml:space="preserve">  3. 급여대장    : ★ 직원별 연간(1~12월, 38명×12개월=456행) 급여대장. 상단 필터(▼)에서 성명을 선택하면 그 직원의 1년 지급내역과 합계(2행)가 나옵니다.</t>
  </si>
  <si>
    <t xml:space="preserve">  4. 4대보험     : 국민연금·건강·장기요양·고용·산재 — 근로자/회사 부담을 나눠 자동계산. 성명 필터 가능.</t>
  </si>
  <si>
    <t xml:space="preserve">  5. 세금        : 근로소득 간이세액 산식으로 갑근세·지방소득세 자동계산. 성명 필터 가능.</t>
  </si>
  <si>
    <t xml:space="preserve">  6. 급여명세서  : F4에 직원 NO, F5에 월(月)을 입력하면 해당 월 발송용 명세서가 자동 완성.</t>
  </si>
  <si>
    <t>■ 시간급여(통상시급) 계산</t>
  </si>
  <si>
    <t xml:space="preserve">  · 통상시급 = 기본급 ÷ 월 소정근로시간(209h)  → 연장·야간 근로시간(파란색)만 입력하면 수당이 자동 산출됩니다.</t>
  </si>
  <si>
    <t xml:space="preserve">  · 연장근로수당 = 통상시급 × 1.5 × 연장시간  /  야간근로수당 = 통상시급 × 0.5 × 야간시간(가산분)</t>
  </si>
  <si>
    <t>■ 비과세 처리 (세금에서 제외)</t>
  </si>
  <si>
    <t xml:space="preserve">  · 통신비 · 식대(월 20만 한도) · 차량유지비(자가운전보조금, 월 20만 한도)는 '비과세합계'로 빠져 과세급여·4대보험·세금 계산에서 제외됩니다.</t>
  </si>
  <si>
    <t xml:space="preserve">  · 한도 초과분은 자동으로 과세로 잡힙니다(비과세합계 수식이 MIN 한도 적용).</t>
  </si>
  <si>
    <t>■ 색상 규칙</t>
  </si>
  <si>
    <t xml:space="preserve">  파란색=직접입력  /  검은색=수식(수정금지)  /  초록색=다른 시트 참조  /  노란색 배경=매년 확인·갱신 필요</t>
  </si>
  <si>
    <t>■ 주의사항</t>
  </si>
  <si>
    <t xml:space="preserve">  · 소득세는 간이세액표 산출 로직의 근사치입니다. 신고 전 홈택스 간이세액표와 대조하세요.</t>
  </si>
  <si>
    <t xml:space="preserve">  · 산재보험 요율은 사업장별로 다릅니다. 근로복지공단 통지 요율로 요율기준 시트를 수정하세요.</t>
  </si>
  <si>
    <t xml:space="preserve">  · 급여 금액은 직급별 예시값입니다. 실제 값으로 교체하세요. 주민번호·연락처 등 개인정보는 공개 저장소 노출에 주의하세요.</t>
  </si>
  <si>
    <t>급여 계산 기준값 (2026년 귀속)</t>
  </si>
  <si>
    <t>항목</t>
  </si>
  <si>
    <t>값</t>
  </si>
  <si>
    <t>비고 / 출처</t>
  </si>
  <si>
    <t>국민연금 요율(근로자부담)</t>
  </si>
  <si>
    <t>기준소득월액×4.5% (회사 4.5% 별도) — 국민연금공단</t>
  </si>
  <si>
    <t>국민연금 기준소득월액 상한</t>
  </si>
  <si>
    <t>2025.7~2026.6 적용. 매년 7월 변경 — 국민연금공단</t>
  </si>
  <si>
    <t>국민연금 기준소득월액 하한</t>
  </si>
  <si>
    <t>2025.7~2026.6 적용 — 국민연금공단</t>
  </si>
  <si>
    <t>건강보험 요율(근로자부담)</t>
  </si>
  <si>
    <t>보수월액×3.545% (회사 동일) — 2025년 요율</t>
  </si>
  <si>
    <t>장기요양보험 요율</t>
  </si>
  <si>
    <t>건강보험료×12.95% — 국민건강보험공단</t>
  </si>
  <si>
    <t>고용보험 요율(근로자부담)</t>
  </si>
  <si>
    <t>실업급여분 0.9% — 고용노동부</t>
  </si>
  <si>
    <t>고용보험 요율(회사부담)</t>
  </si>
  <si>
    <t>실업급여 0.9%+고용안정·능력개발 0.25%(150인 미만)</t>
  </si>
  <si>
    <t>산재보험 요율(회사 전액)</t>
  </si>
  <si>
    <t>예시값. 사업장별 상이 — 근로복지공단 통지요율로 수정</t>
  </si>
  <si>
    <t>지방소득세율</t>
  </si>
  <si>
    <t>소득세의 10% — 지방세법</t>
  </si>
  <si>
    <t>인적공제(1인당·연간)</t>
  </si>
  <si>
    <t>소득세법 기본공제 150만원</t>
  </si>
  <si>
    <t>월 소정근로시간</t>
  </si>
  <si>
    <t>주40시간제 기준 통상임금 산정 시간(주휴 포함)</t>
  </si>
  <si>
    <t>연장근로 가산율</t>
  </si>
  <si>
    <t>근로기준법 통상임금 50% 가산</t>
  </si>
  <si>
    <t>야간근로 가산율</t>
  </si>
  <si>
    <t>22시~06시 야간 가산(별도, 통상임금 50%)</t>
  </si>
  <si>
    <t>식대 비과세 한도(월)</t>
  </si>
  <si>
    <t>소득세법상 식대 비과세 월 20만원</t>
  </si>
  <si>
    <t>차량유지비 비과세 한도(월)</t>
  </si>
  <si>
    <t>자가운전보조금 월 20만원 비과세</t>
  </si>
  <si>
    <t>㈜신정개발 직원 마스터</t>
  </si>
  <si>
    <t>※ 부양가족수(본인 포함, 파란색)는 갑근세 계산에 사용됩니다. 입·퇴사 시 이 시트를 먼저 수정하세요.</t>
  </si>
  <si>
    <t>NO</t>
  </si>
  <si>
    <t>사번</t>
  </si>
  <si>
    <t>성명</t>
  </si>
  <si>
    <t>부서</t>
  </si>
  <si>
    <t>직급</t>
  </si>
  <si>
    <t>주민번호(마스킹)</t>
  </si>
  <si>
    <t>연락처</t>
  </si>
  <si>
    <t>입사일</t>
  </si>
  <si>
    <t>부양가족수
(본인포함)</t>
  </si>
  <si>
    <t>재직상태</t>
  </si>
  <si>
    <t>비고</t>
  </si>
  <si>
    <t>S0001</t>
  </si>
  <si>
    <t>가온누리</t>
  </si>
  <si>
    <t>대표이사실</t>
  </si>
  <si>
    <t>대표이사</t>
  </si>
  <si>
    <t>900101-1******</t>
  </si>
  <si>
    <t>010-0000-1001</t>
  </si>
  <si>
    <t>재직</t>
  </si>
  <si>
    <t>S0002</t>
  </si>
  <si>
    <t>나래솔</t>
  </si>
  <si>
    <t>이사</t>
  </si>
  <si>
    <t>880202-2******</t>
  </si>
  <si>
    <t>010-0000-1002</t>
  </si>
  <si>
    <t>S0003</t>
  </si>
  <si>
    <t>다올찬</t>
  </si>
  <si>
    <t>경영지원팀</t>
  </si>
  <si>
    <t>850303-1******</t>
  </si>
  <si>
    <t>010-0000-1003</t>
  </si>
  <si>
    <t>자격수당 대상</t>
  </si>
  <si>
    <t>S0004</t>
  </si>
  <si>
    <t>라온제</t>
  </si>
  <si>
    <t>과장</t>
  </si>
  <si>
    <t>900404-2******</t>
  </si>
  <si>
    <t>010-0000-1004</t>
  </si>
  <si>
    <t>S0005</t>
  </si>
  <si>
    <t>마루한</t>
  </si>
  <si>
    <t>C&amp;M 1팀</t>
  </si>
  <si>
    <t>부장</t>
  </si>
  <si>
    <t>830505-1******</t>
  </si>
  <si>
    <t>010-0000-1005</t>
  </si>
  <si>
    <t>S0006</t>
  </si>
  <si>
    <t>바다별</t>
  </si>
  <si>
    <t>C&amp;S 1팀</t>
  </si>
  <si>
    <t>840606-1******</t>
  </si>
  <si>
    <t>010-0000-1006</t>
  </si>
  <si>
    <t>S0007</t>
  </si>
  <si>
    <t>사랑비</t>
  </si>
  <si>
    <t>C&amp;S 2팀</t>
  </si>
  <si>
    <t>차장</t>
  </si>
  <si>
    <t>870707-1******</t>
  </si>
  <si>
    <t>010-0000-1007</t>
  </si>
  <si>
    <t>S0008</t>
  </si>
  <si>
    <t>아름찬</t>
  </si>
  <si>
    <t>SAP팀</t>
  </si>
  <si>
    <t>860808-1******</t>
  </si>
  <si>
    <t>010-0000-1008</t>
  </si>
  <si>
    <t>S0009</t>
  </si>
  <si>
    <t>자유롬</t>
  </si>
  <si>
    <t>890909-1******</t>
  </si>
  <si>
    <t>010-0000-1009</t>
  </si>
  <si>
    <t>S0010</t>
  </si>
  <si>
    <t>차분해</t>
  </si>
  <si>
    <t>911010-1******</t>
  </si>
  <si>
    <t>010-0000-1010</t>
  </si>
  <si>
    <t>S0011</t>
  </si>
  <si>
    <t>카랑찬</t>
  </si>
  <si>
    <t>대리</t>
  </si>
  <si>
    <t>921111-1******</t>
  </si>
  <si>
    <t>010-0000-1011</t>
  </si>
  <si>
    <t>S0012</t>
  </si>
  <si>
    <t>타래솔</t>
  </si>
  <si>
    <t>C&amp;R팀</t>
  </si>
  <si>
    <t>반장</t>
  </si>
  <si>
    <t>811212-1******</t>
  </si>
  <si>
    <t>010-0000-1012</t>
  </si>
  <si>
    <t>S0013</t>
  </si>
  <si>
    <t>파도한</t>
  </si>
  <si>
    <t>사원</t>
  </si>
  <si>
    <t>930113-1******</t>
  </si>
  <si>
    <t>010-0000-1013</t>
  </si>
  <si>
    <t>S0014</t>
  </si>
  <si>
    <t>하나로</t>
  </si>
  <si>
    <t>안전/공무</t>
  </si>
  <si>
    <t>940214-1******</t>
  </si>
  <si>
    <t>010-0000-1014</t>
  </si>
  <si>
    <t>S0015</t>
  </si>
  <si>
    <t>한결이</t>
  </si>
  <si>
    <t>공사사업부</t>
  </si>
  <si>
    <t>기사</t>
  </si>
  <si>
    <t>900315-1******</t>
  </si>
  <si>
    <t>010-0000-1015</t>
  </si>
  <si>
    <t>S0016</t>
  </si>
  <si>
    <t>슬기론</t>
  </si>
  <si>
    <t>950416-2******</t>
  </si>
  <si>
    <t>010-0000-1016</t>
  </si>
  <si>
    <t>S0017</t>
  </si>
  <si>
    <t>빛나라</t>
  </si>
  <si>
    <t>기업부설연구소</t>
  </si>
  <si>
    <t>연구원</t>
  </si>
  <si>
    <t>960517-2******</t>
  </si>
  <si>
    <t>010-0000-1017</t>
  </si>
  <si>
    <t>S0018</t>
  </si>
  <si>
    <t>온새미</t>
  </si>
  <si>
    <t>현장지원</t>
  </si>
  <si>
    <t>970618-1******</t>
  </si>
  <si>
    <t>010-0000-1018</t>
  </si>
  <si>
    <t>㈜신정개발 급여대장 (2026년 연간)  —  성명 필터 시 해당 직원 1년치 표시</t>
  </si>
  <si>
    <t>▼ 상단 필터에서 성명 선택 → 합계 자동반영 →</t>
  </si>
  <si>
    <t>직원 정보</t>
  </si>
  <si>
    <t>지  급  내  역</t>
  </si>
  <si>
    <t>합계 / 과세</t>
  </si>
  <si>
    <t>공  제  내  역</t>
  </si>
  <si>
    <t>실지급액</t>
  </si>
  <si>
    <t>귀속월</t>
  </si>
  <si>
    <t>기본급</t>
  </si>
  <si>
    <t>통상시급</t>
  </si>
  <si>
    <t>연장
시간</t>
  </si>
  <si>
    <t>야간
시간</t>
  </si>
  <si>
    <t>약정근로
수당</t>
  </si>
  <si>
    <t>연장근로
수당</t>
  </si>
  <si>
    <t>야간근로
수당</t>
  </si>
  <si>
    <t>직책수당</t>
  </si>
  <si>
    <t>출근수당</t>
  </si>
  <si>
    <t>자격수당</t>
  </si>
  <si>
    <t>통신비
(비과세)</t>
  </si>
  <si>
    <t>식대
(비과세)</t>
  </si>
  <si>
    <t>차량유지비
(비과세)</t>
  </si>
  <si>
    <t>지급합계</t>
  </si>
  <si>
    <t>비과세
합계</t>
  </si>
  <si>
    <t>과세급여</t>
  </si>
  <si>
    <t>국민연금</t>
  </si>
  <si>
    <t>건강보험</t>
  </si>
  <si>
    <t>장기요양</t>
  </si>
  <si>
    <t>고용보험</t>
  </si>
  <si>
    <t>소득세</t>
  </si>
  <si>
    <t>지방
소득세</t>
  </si>
  <si>
    <t>기타공제</t>
  </si>
  <si>
    <t>공제합계</t>
  </si>
  <si>
    <t>4대보험 부담금 내역 (자동계산) — 성명 필터 가능</t>
  </si>
  <si>
    <t>※ 보수월액=급여대장 과세급여. 요율은 '요율기준' 참조, 10원 미만 절사(TRUNC).</t>
  </si>
  <si>
    <t>기본정보</t>
  </si>
  <si>
    <t>보수월액</t>
  </si>
  <si>
    <t>산재</t>
  </si>
  <si>
    <t>부담 합계</t>
  </si>
  <si>
    <t>근로자</t>
  </si>
  <si>
    <t>회사</t>
  </si>
  <si>
    <t>근로자
부담계</t>
  </si>
  <si>
    <t>회사
부담계</t>
  </si>
  <si>
    <t>총부담액</t>
  </si>
  <si>
    <t>근로소득세(갑근세)·지방소득세 산출 (자동계산) — 성명 필터 가능</t>
  </si>
  <si>
    <t>※ 근로소득 간이세액표 산출 로직의 근사치입니다. 신고 전 홈택스 간이세액표와 대조하세요. 10원 미만 절사.</t>
  </si>
  <si>
    <t>부양
가족수</t>
  </si>
  <si>
    <t>월 과세급여</t>
  </si>
  <si>
    <t>연간환산</t>
  </si>
  <si>
    <t>근로소득
공제</t>
  </si>
  <si>
    <t>근로소득
금액</t>
  </si>
  <si>
    <t>인적공제</t>
  </si>
  <si>
    <t>연금보험료
공제</t>
  </si>
  <si>
    <t>특별공제
(가정)</t>
  </si>
  <si>
    <t>과세표준</t>
  </si>
  <si>
    <t>산출세액(연)</t>
  </si>
  <si>
    <t>근로소득
세액공제</t>
  </si>
  <si>
    <t>결정세액(연)</t>
  </si>
  <si>
    <t>소득세(월)</t>
  </si>
  <si>
    <t>지방소득세(월)</t>
  </si>
  <si>
    <t>원천징수계(월)</t>
  </si>
  <si>
    <t>급  여  명  세  서</t>
  </si>
  <si>
    <t>직원 NO ▶</t>
  </si>
  <si>
    <t>지급 월(月) ▶</t>
  </si>
  <si>
    <t>지급일</t>
  </si>
  <si>
    <t>금액(원)</t>
  </si>
  <si>
    <t>약정근로수당</t>
  </si>
  <si>
    <t>연장근로수당</t>
  </si>
  <si>
    <t>장기요양보험</t>
  </si>
  <si>
    <t>야간근로수당</t>
  </si>
  <si>
    <t>소득세(갑근세)</t>
  </si>
  <si>
    <t>지방소득세</t>
  </si>
  <si>
    <t>통신비 (비과세)</t>
  </si>
  <si>
    <t>식대 (비과세)</t>
  </si>
  <si>
    <t>차량유지비 (비과세)</t>
  </si>
  <si>
    <t>지급액 계</t>
  </si>
  <si>
    <t>공제액 계</t>
  </si>
  <si>
    <t>실  지  급  액</t>
  </si>
  <si>
    <t>※ 위 금액은 근로소득 간이세액 기준 산출이며, 연말정산 시 정산됩니다.</t>
  </si>
  <si>
    <t>귀하의 노고에 감사드립니다.</t>
  </si>
  <si>
    <t>㈜ 신 정 개 발   대 표 이 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</si>
</sst>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;\(#,##0\);&quot;-&quot;"/>
    <numFmt numFmtId="177" formatCode="0.000%"/>
    <numFmt numFmtId="178" formatCode="0&quot;시간&quot;"/>
    <numFmt numFmtId="179" formatCode="0.0&quot;배&quot;"/>
    <numFmt numFmtId="180" formatCode="yyyy\-mm\-dd"/>
    <numFmt numFmtId="181" formatCode="0.0;;&quot;-&quot;"/>
    <numFmt numFmtId="182" formatCode="yyyy&quot;년&quot;mm&quot;월&quot;"/>
  </numFmts>
  <fonts count="15" x14ac:knownFonts="1">
    <font>
      <sz val="11"/>
      <color theme="1"/>
      <name val="맑은 고딕"/>
      <family val="2"/>
      <scheme val="minor"/>
    </font>
    <font>
      <b/>
      <sz val="16"/>
      <color rgb="FF000000"/>
      <name val="맑은 고딕"/>
      <family val="3"/>
      <charset val="129"/>
    </font>
    <font>
      <sz val="10"/>
      <color rgb="FF595959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rgb="FF008000"/>
      <name val="맑은 고딕"/>
      <family val="3"/>
      <charset val="129"/>
    </font>
    <font>
      <b/>
      <sz val="10"/>
      <color rgb="FF008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b/>
      <sz val="13"/>
      <color rgb="FF008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0" fontId="7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76" fontId="7" fillId="3" borderId="1" xfId="0" applyNumberFormat="1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10" fontId="7" fillId="3" borderId="1" xfId="0" applyNumberFormat="1" applyFont="1" applyFill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81" fontId="3" fillId="4" borderId="1" xfId="0" applyNumberFormat="1" applyFont="1" applyFill="1" applyBorder="1" applyAlignment="1">
      <alignment horizontal="center" vertical="center"/>
    </xf>
    <xf numFmtId="182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81" fontId="7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82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1" fontId="7" fillId="3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176" fontId="9" fillId="7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13" fillId="7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7"/>
  <sheetViews>
    <sheetView showGridLines="0" tabSelected="1" workbookViewId="0"/>
  </sheetViews>
  <sheetFormatPr defaultRowHeight="17.399999999999999" x14ac:dyDescent="0.4"/>
  <cols>
    <col min="1" max="1" width="2" customWidth="1"/>
    <col min="2" max="2" width="140" customWidth="1"/>
  </cols>
  <sheetData>
    <row r="2" spans="2:2" ht="25.2" x14ac:dyDescent="0.4">
      <c r="B2" s="1" t="s">
        <v>0</v>
      </c>
    </row>
    <row r="3" spans="2:2" x14ac:dyDescent="0.4">
      <c r="B3" s="2" t="s">
        <v>1</v>
      </c>
    </row>
    <row r="5" spans="2:2" x14ac:dyDescent="0.4">
      <c r="B5" s="3" t="s">
        <v>2</v>
      </c>
    </row>
    <row r="6" spans="2:2" x14ac:dyDescent="0.4">
      <c r="B6" s="4" t="s">
        <v>3</v>
      </c>
    </row>
    <row r="7" spans="2:2" x14ac:dyDescent="0.4">
      <c r="B7" s="4" t="s">
        <v>4</v>
      </c>
    </row>
    <row r="8" spans="2:2" x14ac:dyDescent="0.4">
      <c r="B8" s="4" t="s">
        <v>5</v>
      </c>
    </row>
    <row r="9" spans="2:2" x14ac:dyDescent="0.4">
      <c r="B9" s="4" t="s">
        <v>6</v>
      </c>
    </row>
    <row r="10" spans="2:2" x14ac:dyDescent="0.4">
      <c r="B10" s="4" t="s">
        <v>7</v>
      </c>
    </row>
    <row r="11" spans="2:2" x14ac:dyDescent="0.4">
      <c r="B11" s="4" t="s">
        <v>8</v>
      </c>
    </row>
    <row r="12" spans="2:2" x14ac:dyDescent="0.4">
      <c r="B12" s="4"/>
    </row>
    <row r="13" spans="2:2" x14ac:dyDescent="0.4">
      <c r="B13" s="3" t="s">
        <v>9</v>
      </c>
    </row>
    <row r="14" spans="2:2" x14ac:dyDescent="0.4">
      <c r="B14" s="4" t="s">
        <v>10</v>
      </c>
    </row>
    <row r="15" spans="2:2" x14ac:dyDescent="0.4">
      <c r="B15" s="4" t="s">
        <v>11</v>
      </c>
    </row>
    <row r="16" spans="2:2" x14ac:dyDescent="0.4">
      <c r="B16" s="4"/>
    </row>
    <row r="17" spans="2:2" x14ac:dyDescent="0.4">
      <c r="B17" s="3" t="s">
        <v>12</v>
      </c>
    </row>
    <row r="18" spans="2:2" x14ac:dyDescent="0.4">
      <c r="B18" s="4" t="s">
        <v>13</v>
      </c>
    </row>
    <row r="19" spans="2:2" x14ac:dyDescent="0.4">
      <c r="B19" s="4" t="s">
        <v>14</v>
      </c>
    </row>
    <row r="20" spans="2:2" x14ac:dyDescent="0.4">
      <c r="B20" s="4"/>
    </row>
    <row r="21" spans="2:2" x14ac:dyDescent="0.4">
      <c r="B21" s="3" t="s">
        <v>15</v>
      </c>
    </row>
    <row r="22" spans="2:2" x14ac:dyDescent="0.4">
      <c r="B22" s="4" t="s">
        <v>16</v>
      </c>
    </row>
    <row r="23" spans="2:2" x14ac:dyDescent="0.4">
      <c r="B23" s="4"/>
    </row>
    <row r="24" spans="2:2" x14ac:dyDescent="0.4">
      <c r="B24" s="3" t="s">
        <v>17</v>
      </c>
    </row>
    <row r="25" spans="2:2" x14ac:dyDescent="0.4">
      <c r="B25" s="4" t="s">
        <v>18</v>
      </c>
    </row>
    <row r="26" spans="2:2" x14ac:dyDescent="0.4">
      <c r="B26" s="4" t="s">
        <v>19</v>
      </c>
    </row>
    <row r="27" spans="2:2" x14ac:dyDescent="0.4">
      <c r="B27" s="4" t="s">
        <v>20</v>
      </c>
    </row>
  </sheetData>
  <phoneticPr fontId="1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defaultRowHeight="17.399999999999999" x14ac:dyDescent="0.4"/>
  <cols>
    <col min="1" max="1" width="28" customWidth="1"/>
    <col min="2" max="2" width="14" customWidth="1"/>
    <col min="3" max="3" width="58" customWidth="1"/>
  </cols>
  <sheetData>
    <row r="1" spans="1:3" ht="21" x14ac:dyDescent="0.4">
      <c r="A1" s="5" t="s">
        <v>21</v>
      </c>
    </row>
    <row r="3" spans="1:3" x14ac:dyDescent="0.4">
      <c r="A3" s="6" t="s">
        <v>22</v>
      </c>
      <c r="B3" s="6" t="s">
        <v>23</v>
      </c>
      <c r="C3" s="6" t="s">
        <v>24</v>
      </c>
    </row>
    <row r="4" spans="1:3" x14ac:dyDescent="0.4">
      <c r="A4" s="7" t="s">
        <v>25</v>
      </c>
      <c r="B4" s="8">
        <v>4.4999999999999998E-2</v>
      </c>
      <c r="C4" s="9" t="s">
        <v>26</v>
      </c>
    </row>
    <row r="5" spans="1:3" x14ac:dyDescent="0.4">
      <c r="A5" s="7" t="s">
        <v>27</v>
      </c>
      <c r="B5" s="10">
        <v>6370000</v>
      </c>
      <c r="C5" s="9" t="s">
        <v>28</v>
      </c>
    </row>
    <row r="6" spans="1:3" x14ac:dyDescent="0.4">
      <c r="A6" s="7" t="s">
        <v>29</v>
      </c>
      <c r="B6" s="10">
        <v>400000</v>
      </c>
      <c r="C6" s="9" t="s">
        <v>30</v>
      </c>
    </row>
    <row r="7" spans="1:3" x14ac:dyDescent="0.4">
      <c r="A7" s="7" t="s">
        <v>31</v>
      </c>
      <c r="B7" s="11">
        <v>3.5450000000000002E-2</v>
      </c>
      <c r="C7" s="9" t="s">
        <v>32</v>
      </c>
    </row>
    <row r="8" spans="1:3" x14ac:dyDescent="0.4">
      <c r="A8" s="7" t="s">
        <v>33</v>
      </c>
      <c r="B8" s="12">
        <v>0.1295</v>
      </c>
      <c r="C8" s="9" t="s">
        <v>34</v>
      </c>
    </row>
    <row r="9" spans="1:3" x14ac:dyDescent="0.4">
      <c r="A9" s="7" t="s">
        <v>35</v>
      </c>
      <c r="B9" s="8">
        <v>8.9999999999999993E-3</v>
      </c>
      <c r="C9" s="9" t="s">
        <v>36</v>
      </c>
    </row>
    <row r="10" spans="1:3" x14ac:dyDescent="0.4">
      <c r="A10" s="7" t="s">
        <v>37</v>
      </c>
      <c r="B10" s="12">
        <v>1.15E-2</v>
      </c>
      <c r="C10" s="9" t="s">
        <v>38</v>
      </c>
    </row>
    <row r="11" spans="1:3" x14ac:dyDescent="0.4">
      <c r="A11" s="7" t="s">
        <v>39</v>
      </c>
      <c r="B11" s="12">
        <v>1.47E-2</v>
      </c>
      <c r="C11" s="9" t="s">
        <v>40</v>
      </c>
    </row>
    <row r="12" spans="1:3" x14ac:dyDescent="0.4">
      <c r="A12" s="7" t="s">
        <v>41</v>
      </c>
      <c r="B12" s="13">
        <v>0.1</v>
      </c>
      <c r="C12" s="9" t="s">
        <v>42</v>
      </c>
    </row>
    <row r="13" spans="1:3" x14ac:dyDescent="0.4">
      <c r="A13" s="7" t="s">
        <v>43</v>
      </c>
      <c r="B13" s="14">
        <v>1500000</v>
      </c>
      <c r="C13" s="9" t="s">
        <v>44</v>
      </c>
    </row>
    <row r="14" spans="1:3" x14ac:dyDescent="0.4">
      <c r="A14" s="7" t="s">
        <v>45</v>
      </c>
      <c r="B14" s="15">
        <v>209</v>
      </c>
      <c r="C14" s="9" t="s">
        <v>46</v>
      </c>
    </row>
    <row r="15" spans="1:3" x14ac:dyDescent="0.4">
      <c r="A15" s="7" t="s">
        <v>47</v>
      </c>
      <c r="B15" s="16">
        <v>1.5</v>
      </c>
      <c r="C15" s="9" t="s">
        <v>48</v>
      </c>
    </row>
    <row r="16" spans="1:3" x14ac:dyDescent="0.4">
      <c r="A16" s="7" t="s">
        <v>49</v>
      </c>
      <c r="B16" s="16">
        <v>0.5</v>
      </c>
      <c r="C16" s="9" t="s">
        <v>50</v>
      </c>
    </row>
    <row r="17" spans="1:3" x14ac:dyDescent="0.4">
      <c r="A17" s="7" t="s">
        <v>51</v>
      </c>
      <c r="B17" s="14">
        <v>200000</v>
      </c>
      <c r="C17" s="9" t="s">
        <v>52</v>
      </c>
    </row>
    <row r="18" spans="1:3" x14ac:dyDescent="0.4">
      <c r="A18" s="7" t="s">
        <v>53</v>
      </c>
      <c r="B18" s="14">
        <v>200000</v>
      </c>
      <c r="C18" s="9" t="s">
        <v>54</v>
      </c>
    </row>
  </sheetData>
  <phoneticPr fontId="1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workbookViewId="0">
      <pane ySplit="4" topLeftCell="A5" activePane="bottomLeft" state="frozen"/>
      <selection pane="bottomLeft"/>
    </sheetView>
  </sheetViews>
  <sheetFormatPr defaultRowHeight="17.399999999999999" x14ac:dyDescent="0.4"/>
  <cols>
    <col min="1" max="1" width="5" customWidth="1"/>
    <col min="2" max="3" width="9" customWidth="1"/>
    <col min="4" max="4" width="13" customWidth="1"/>
    <col min="5" max="5" width="9" customWidth="1"/>
    <col min="6" max="6" width="16" customWidth="1"/>
    <col min="7" max="7" width="14" customWidth="1"/>
    <col min="8" max="8" width="12" customWidth="1"/>
    <col min="9" max="9" width="11" customWidth="1"/>
    <col min="10" max="10" width="9" customWidth="1"/>
    <col min="11" max="11" width="14" customWidth="1"/>
  </cols>
  <sheetData>
    <row r="1" spans="1:11" ht="21" x14ac:dyDescent="0.4">
      <c r="A1" s="5" t="s">
        <v>55</v>
      </c>
    </row>
    <row r="2" spans="1:11" x14ac:dyDescent="0.4">
      <c r="A2" s="2" t="s">
        <v>56</v>
      </c>
    </row>
    <row r="4" spans="1:11" ht="31.2" x14ac:dyDescent="0.4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  <c r="F4" s="6" t="s">
        <v>62</v>
      </c>
      <c r="G4" s="6" t="s">
        <v>63</v>
      </c>
      <c r="H4" s="6" t="s">
        <v>64</v>
      </c>
      <c r="I4" s="6" t="s">
        <v>65</v>
      </c>
      <c r="J4" s="6" t="s">
        <v>66</v>
      </c>
      <c r="K4" s="6" t="s">
        <v>67</v>
      </c>
    </row>
    <row r="5" spans="1:11" x14ac:dyDescent="0.4">
      <c r="A5" s="17">
        <v>1</v>
      </c>
      <c r="B5" s="17" t="s">
        <v>68</v>
      </c>
      <c r="C5" s="18" t="s">
        <v>69</v>
      </c>
      <c r="D5" s="17" t="s">
        <v>70</v>
      </c>
      <c r="E5" s="17" t="s">
        <v>71</v>
      </c>
      <c r="F5" s="17" t="s">
        <v>72</v>
      </c>
      <c r="G5" s="17" t="s">
        <v>73</v>
      </c>
      <c r="H5" s="19">
        <v>40239</v>
      </c>
      <c r="I5" s="20">
        <v>1</v>
      </c>
      <c r="J5" s="17" t="s">
        <v>74</v>
      </c>
      <c r="K5" s="17"/>
    </row>
    <row r="6" spans="1:11" x14ac:dyDescent="0.4">
      <c r="A6" s="17">
        <v>2</v>
      </c>
      <c r="B6" s="17" t="s">
        <v>75</v>
      </c>
      <c r="C6" s="18" t="s">
        <v>76</v>
      </c>
      <c r="D6" s="17" t="s">
        <v>70</v>
      </c>
      <c r="E6" s="17" t="s">
        <v>77</v>
      </c>
      <c r="F6" s="17" t="s">
        <v>78</v>
      </c>
      <c r="G6" s="17" t="s">
        <v>79</v>
      </c>
      <c r="H6" s="19">
        <v>40673</v>
      </c>
      <c r="I6" s="20">
        <v>1</v>
      </c>
      <c r="J6" s="17" t="s">
        <v>74</v>
      </c>
      <c r="K6" s="17"/>
    </row>
    <row r="7" spans="1:11" x14ac:dyDescent="0.4">
      <c r="A7" s="17">
        <v>3</v>
      </c>
      <c r="B7" s="17" t="s">
        <v>80</v>
      </c>
      <c r="C7" s="18" t="s">
        <v>81</v>
      </c>
      <c r="D7" s="17" t="s">
        <v>82</v>
      </c>
      <c r="E7" s="17" t="s">
        <v>77</v>
      </c>
      <c r="F7" s="17" t="s">
        <v>83</v>
      </c>
      <c r="G7" s="17" t="s">
        <v>84</v>
      </c>
      <c r="H7" s="19">
        <v>40923</v>
      </c>
      <c r="I7" s="20">
        <v>1</v>
      </c>
      <c r="J7" s="17" t="s">
        <v>74</v>
      </c>
      <c r="K7" s="17" t="s">
        <v>85</v>
      </c>
    </row>
    <row r="8" spans="1:11" x14ac:dyDescent="0.4">
      <c r="A8" s="17">
        <v>4</v>
      </c>
      <c r="B8" s="17" t="s">
        <v>86</v>
      </c>
      <c r="C8" s="18" t="s">
        <v>87</v>
      </c>
      <c r="D8" s="17" t="s">
        <v>82</v>
      </c>
      <c r="E8" s="17" t="s">
        <v>88</v>
      </c>
      <c r="F8" s="17" t="s">
        <v>89</v>
      </c>
      <c r="G8" s="17" t="s">
        <v>90</v>
      </c>
      <c r="H8" s="19">
        <v>42461</v>
      </c>
      <c r="I8" s="20">
        <v>1</v>
      </c>
      <c r="J8" s="17" t="s">
        <v>74</v>
      </c>
      <c r="K8" s="17"/>
    </row>
    <row r="9" spans="1:11" x14ac:dyDescent="0.4">
      <c r="A9" s="17">
        <v>5</v>
      </c>
      <c r="B9" s="17" t="s">
        <v>91</v>
      </c>
      <c r="C9" s="18" t="s">
        <v>92</v>
      </c>
      <c r="D9" s="17" t="s">
        <v>93</v>
      </c>
      <c r="E9" s="17" t="s">
        <v>94</v>
      </c>
      <c r="F9" s="17" t="s">
        <v>95</v>
      </c>
      <c r="G9" s="17" t="s">
        <v>96</v>
      </c>
      <c r="H9" s="19">
        <v>41475</v>
      </c>
      <c r="I9" s="20">
        <v>1</v>
      </c>
      <c r="J9" s="17" t="s">
        <v>74</v>
      </c>
      <c r="K9" s="17" t="s">
        <v>85</v>
      </c>
    </row>
    <row r="10" spans="1:11" x14ac:dyDescent="0.4">
      <c r="A10" s="17">
        <v>6</v>
      </c>
      <c r="B10" s="17" t="s">
        <v>97</v>
      </c>
      <c r="C10" s="18" t="s">
        <v>98</v>
      </c>
      <c r="D10" s="17" t="s">
        <v>99</v>
      </c>
      <c r="E10" s="17" t="s">
        <v>94</v>
      </c>
      <c r="F10" s="17" t="s">
        <v>100</v>
      </c>
      <c r="G10" s="17" t="s">
        <v>101</v>
      </c>
      <c r="H10" s="19">
        <v>41681</v>
      </c>
      <c r="I10" s="20">
        <v>1</v>
      </c>
      <c r="J10" s="17" t="s">
        <v>74</v>
      </c>
      <c r="K10" s="17" t="s">
        <v>85</v>
      </c>
    </row>
    <row r="11" spans="1:11" x14ac:dyDescent="0.4">
      <c r="A11" s="17">
        <v>7</v>
      </c>
      <c r="B11" s="17" t="s">
        <v>102</v>
      </c>
      <c r="C11" s="18" t="s">
        <v>103</v>
      </c>
      <c r="D11" s="17" t="s">
        <v>104</v>
      </c>
      <c r="E11" s="17" t="s">
        <v>105</v>
      </c>
      <c r="F11" s="17" t="s">
        <v>106</v>
      </c>
      <c r="G11" s="17" t="s">
        <v>107</v>
      </c>
      <c r="H11" s="19">
        <v>42248</v>
      </c>
      <c r="I11" s="20">
        <v>1</v>
      </c>
      <c r="J11" s="17" t="s">
        <v>74</v>
      </c>
      <c r="K11" s="17"/>
    </row>
    <row r="12" spans="1:11" x14ac:dyDescent="0.4">
      <c r="A12" s="17">
        <v>8</v>
      </c>
      <c r="B12" s="17" t="s">
        <v>108</v>
      </c>
      <c r="C12" s="18" t="s">
        <v>109</v>
      </c>
      <c r="D12" s="17" t="s">
        <v>110</v>
      </c>
      <c r="E12" s="17" t="s">
        <v>105</v>
      </c>
      <c r="F12" s="17" t="s">
        <v>111</v>
      </c>
      <c r="G12" s="17" t="s">
        <v>112</v>
      </c>
      <c r="H12" s="19">
        <v>42432</v>
      </c>
      <c r="I12" s="20">
        <v>1</v>
      </c>
      <c r="J12" s="17" t="s">
        <v>74</v>
      </c>
      <c r="K12" s="17"/>
    </row>
    <row r="13" spans="1:11" x14ac:dyDescent="0.4">
      <c r="A13" s="17">
        <v>9</v>
      </c>
      <c r="B13" s="17" t="s">
        <v>113</v>
      </c>
      <c r="C13" s="18" t="s">
        <v>114</v>
      </c>
      <c r="D13" s="17" t="s">
        <v>93</v>
      </c>
      <c r="E13" s="17" t="s">
        <v>88</v>
      </c>
      <c r="F13" s="17" t="s">
        <v>115</v>
      </c>
      <c r="G13" s="17" t="s">
        <v>116</v>
      </c>
      <c r="H13" s="19">
        <v>42891</v>
      </c>
      <c r="I13" s="20">
        <v>1</v>
      </c>
      <c r="J13" s="17" t="s">
        <v>74</v>
      </c>
      <c r="K13" s="17" t="s">
        <v>85</v>
      </c>
    </row>
    <row r="14" spans="1:11" x14ac:dyDescent="0.4">
      <c r="A14" s="17">
        <v>10</v>
      </c>
      <c r="B14" s="17" t="s">
        <v>117</v>
      </c>
      <c r="C14" s="18" t="s">
        <v>118</v>
      </c>
      <c r="D14" s="17" t="s">
        <v>110</v>
      </c>
      <c r="E14" s="17" t="s">
        <v>88</v>
      </c>
      <c r="F14" s="17" t="s">
        <v>119</v>
      </c>
      <c r="G14" s="17" t="s">
        <v>120</v>
      </c>
      <c r="H14" s="19">
        <v>43353</v>
      </c>
      <c r="I14" s="20">
        <v>1</v>
      </c>
      <c r="J14" s="17" t="s">
        <v>74</v>
      </c>
      <c r="K14" s="17"/>
    </row>
    <row r="15" spans="1:11" x14ac:dyDescent="0.4">
      <c r="A15" s="17">
        <v>11</v>
      </c>
      <c r="B15" s="17" t="s">
        <v>121</v>
      </c>
      <c r="C15" s="18" t="s">
        <v>122</v>
      </c>
      <c r="D15" s="17" t="s">
        <v>99</v>
      </c>
      <c r="E15" s="17" t="s">
        <v>123</v>
      </c>
      <c r="F15" s="17" t="s">
        <v>124</v>
      </c>
      <c r="G15" s="17" t="s">
        <v>125</v>
      </c>
      <c r="H15" s="19">
        <v>43790</v>
      </c>
      <c r="I15" s="20">
        <v>1</v>
      </c>
      <c r="J15" s="17" t="s">
        <v>74</v>
      </c>
      <c r="K15" s="17"/>
    </row>
    <row r="16" spans="1:11" x14ac:dyDescent="0.4">
      <c r="A16" s="17">
        <v>12</v>
      </c>
      <c r="B16" s="17" t="s">
        <v>126</v>
      </c>
      <c r="C16" s="18" t="s">
        <v>127</v>
      </c>
      <c r="D16" s="17" t="s">
        <v>128</v>
      </c>
      <c r="E16" s="17" t="s">
        <v>129</v>
      </c>
      <c r="F16" s="17" t="s">
        <v>130</v>
      </c>
      <c r="G16" s="17" t="s">
        <v>131</v>
      </c>
      <c r="H16" s="19">
        <v>43838</v>
      </c>
      <c r="I16" s="20">
        <v>1</v>
      </c>
      <c r="J16" s="17" t="s">
        <v>74</v>
      </c>
      <c r="K16" s="17" t="s">
        <v>85</v>
      </c>
    </row>
    <row r="17" spans="1:11" x14ac:dyDescent="0.4">
      <c r="A17" s="17">
        <v>13</v>
      </c>
      <c r="B17" s="17" t="s">
        <v>132</v>
      </c>
      <c r="C17" s="18" t="s">
        <v>133</v>
      </c>
      <c r="D17" s="17" t="s">
        <v>104</v>
      </c>
      <c r="E17" s="17" t="s">
        <v>134</v>
      </c>
      <c r="F17" s="17" t="s">
        <v>135</v>
      </c>
      <c r="G17" s="17" t="s">
        <v>136</v>
      </c>
      <c r="H17" s="19">
        <v>44268</v>
      </c>
      <c r="I17" s="20">
        <v>1</v>
      </c>
      <c r="J17" s="17" t="s">
        <v>74</v>
      </c>
      <c r="K17" s="17"/>
    </row>
    <row r="18" spans="1:11" x14ac:dyDescent="0.4">
      <c r="A18" s="17">
        <v>14</v>
      </c>
      <c r="B18" s="17" t="s">
        <v>137</v>
      </c>
      <c r="C18" s="18" t="s">
        <v>138</v>
      </c>
      <c r="D18" s="17" t="s">
        <v>139</v>
      </c>
      <c r="E18" s="17" t="s">
        <v>134</v>
      </c>
      <c r="F18" s="17" t="s">
        <v>140</v>
      </c>
      <c r="G18" s="17" t="s">
        <v>141</v>
      </c>
      <c r="H18" s="19">
        <v>44792</v>
      </c>
      <c r="I18" s="20">
        <v>1</v>
      </c>
      <c r="J18" s="17" t="s">
        <v>74</v>
      </c>
      <c r="K18" s="17"/>
    </row>
    <row r="19" spans="1:11" x14ac:dyDescent="0.4">
      <c r="A19" s="17">
        <v>15</v>
      </c>
      <c r="B19" s="17" t="s">
        <v>142</v>
      </c>
      <c r="C19" s="18" t="s">
        <v>143</v>
      </c>
      <c r="D19" s="17" t="s">
        <v>144</v>
      </c>
      <c r="E19" s="17" t="s">
        <v>145</v>
      </c>
      <c r="F19" s="17" t="s">
        <v>146</v>
      </c>
      <c r="G19" s="17" t="s">
        <v>147</v>
      </c>
      <c r="H19" s="19">
        <v>42144</v>
      </c>
      <c r="I19" s="20">
        <v>1</v>
      </c>
      <c r="J19" s="17" t="s">
        <v>74</v>
      </c>
      <c r="K19" s="17" t="s">
        <v>85</v>
      </c>
    </row>
    <row r="20" spans="1:11" x14ac:dyDescent="0.4">
      <c r="A20" s="17">
        <v>16</v>
      </c>
      <c r="B20" s="17" t="s">
        <v>148</v>
      </c>
      <c r="C20" s="18" t="s">
        <v>149</v>
      </c>
      <c r="D20" s="17" t="s">
        <v>144</v>
      </c>
      <c r="E20" s="17" t="s">
        <v>145</v>
      </c>
      <c r="F20" s="17" t="s">
        <v>150</v>
      </c>
      <c r="G20" s="17" t="s">
        <v>151</v>
      </c>
      <c r="H20" s="19">
        <v>45035</v>
      </c>
      <c r="I20" s="20">
        <v>1</v>
      </c>
      <c r="J20" s="17" t="s">
        <v>74</v>
      </c>
      <c r="K20" s="17" t="s">
        <v>85</v>
      </c>
    </row>
    <row r="21" spans="1:11" x14ac:dyDescent="0.4">
      <c r="A21" s="17">
        <v>17</v>
      </c>
      <c r="B21" s="17" t="s">
        <v>152</v>
      </c>
      <c r="C21" s="18" t="s">
        <v>153</v>
      </c>
      <c r="D21" s="17" t="s">
        <v>154</v>
      </c>
      <c r="E21" s="17" t="s">
        <v>155</v>
      </c>
      <c r="F21" s="17" t="s">
        <v>156</v>
      </c>
      <c r="G21" s="17" t="s">
        <v>157</v>
      </c>
      <c r="H21" s="19">
        <v>45332</v>
      </c>
      <c r="I21" s="20">
        <v>1</v>
      </c>
      <c r="J21" s="17" t="s">
        <v>74</v>
      </c>
      <c r="K21" s="17"/>
    </row>
    <row r="22" spans="1:11" x14ac:dyDescent="0.4">
      <c r="A22" s="17">
        <v>18</v>
      </c>
      <c r="B22" s="17" t="s">
        <v>158</v>
      </c>
      <c r="C22" s="18" t="s">
        <v>159</v>
      </c>
      <c r="D22" s="17" t="s">
        <v>160</v>
      </c>
      <c r="E22" s="17" t="s">
        <v>134</v>
      </c>
      <c r="F22" s="17" t="s">
        <v>161</v>
      </c>
      <c r="G22" s="17" t="s">
        <v>162</v>
      </c>
      <c r="H22" s="19">
        <v>45670</v>
      </c>
      <c r="I22" s="20">
        <v>1</v>
      </c>
      <c r="J22" s="17" t="s">
        <v>74</v>
      </c>
      <c r="K22" s="17"/>
    </row>
  </sheetData>
  <phoneticPr fontId="1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20"/>
  <sheetViews>
    <sheetView workbookViewId="0">
      <pane xSplit="6" ySplit="4" topLeftCell="G5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9" customWidth="1"/>
    <col min="2" max="2" width="4" customWidth="1"/>
    <col min="3" max="4" width="8" customWidth="1"/>
    <col min="5" max="5" width="11" customWidth="1"/>
    <col min="6" max="6" width="8" customWidth="1"/>
    <col min="7" max="7" width="10" customWidth="1"/>
    <col min="8" max="8" width="9" customWidth="1"/>
    <col min="9" max="10" width="6" customWidth="1"/>
    <col min="11" max="11" width="9" customWidth="1"/>
    <col min="12" max="13" width="10" customWidth="1"/>
    <col min="14" max="16" width="9" customWidth="1"/>
    <col min="17" max="19" width="10" customWidth="1"/>
    <col min="20" max="20" width="11" customWidth="1"/>
    <col min="21" max="21" width="10" customWidth="1"/>
    <col min="22" max="22" width="11" customWidth="1"/>
    <col min="23" max="29" width="9" customWidth="1"/>
    <col min="30" max="30" width="10" customWidth="1"/>
    <col min="31" max="31" width="11" customWidth="1"/>
  </cols>
  <sheetData>
    <row r="1" spans="1:31" ht="21" x14ac:dyDescent="0.4">
      <c r="A1" s="5" t="s">
        <v>163</v>
      </c>
    </row>
    <row r="2" spans="1:31" x14ac:dyDescent="0.4">
      <c r="A2" s="39" t="s">
        <v>164</v>
      </c>
      <c r="B2" s="40"/>
      <c r="C2" s="40"/>
      <c r="D2" s="40"/>
      <c r="E2" s="40"/>
      <c r="F2" s="40"/>
      <c r="G2" s="21">
        <f t="shared" ref="G2:AE2" si="0">SUBTOTAL(109,G5:G220)</f>
        <v>807600000</v>
      </c>
      <c r="H2" s="21">
        <f t="shared" si="0"/>
        <v>3864096</v>
      </c>
      <c r="I2" s="22">
        <f t="shared" si="0"/>
        <v>3204</v>
      </c>
      <c r="J2" s="22">
        <f t="shared" si="0"/>
        <v>858</v>
      </c>
      <c r="K2" s="21">
        <f t="shared" si="0"/>
        <v>50040000</v>
      </c>
      <c r="L2" s="21">
        <f t="shared" si="0"/>
        <v>78737661</v>
      </c>
      <c r="M2" s="21">
        <f t="shared" si="0"/>
        <v>6967476</v>
      </c>
      <c r="N2" s="21">
        <f t="shared" si="0"/>
        <v>26400000</v>
      </c>
      <c r="O2" s="21">
        <f t="shared" si="0"/>
        <v>21600000</v>
      </c>
      <c r="P2" s="21">
        <f t="shared" si="0"/>
        <v>8400000</v>
      </c>
      <c r="Q2" s="21">
        <f t="shared" si="0"/>
        <v>21600000</v>
      </c>
      <c r="R2" s="21">
        <f t="shared" si="0"/>
        <v>43200000</v>
      </c>
      <c r="S2" s="21">
        <f t="shared" si="0"/>
        <v>24000000</v>
      </c>
      <c r="T2" s="21">
        <f t="shared" si="0"/>
        <v>1088545137</v>
      </c>
      <c r="U2" s="21">
        <f t="shared" si="0"/>
        <v>88800000</v>
      </c>
      <c r="V2" s="21">
        <f t="shared" si="0"/>
        <v>999745137</v>
      </c>
      <c r="W2" s="21">
        <f t="shared" si="0"/>
        <v>44543040</v>
      </c>
      <c r="X2" s="21">
        <f t="shared" si="0"/>
        <v>35439950</v>
      </c>
      <c r="Y2" s="21">
        <f t="shared" si="0"/>
        <v>4588390</v>
      </c>
      <c r="Z2" s="21">
        <f t="shared" si="0"/>
        <v>8996700</v>
      </c>
      <c r="AA2" s="21">
        <f t="shared" si="0"/>
        <v>57938410</v>
      </c>
      <c r="AB2" s="21">
        <f t="shared" si="0"/>
        <v>5792900</v>
      </c>
      <c r="AC2" s="21">
        <f t="shared" si="0"/>
        <v>0</v>
      </c>
      <c r="AD2" s="21">
        <f t="shared" si="0"/>
        <v>157299390</v>
      </c>
      <c r="AE2" s="21">
        <f t="shared" si="0"/>
        <v>931245747</v>
      </c>
    </row>
    <row r="3" spans="1:31" x14ac:dyDescent="0.4">
      <c r="A3" s="41" t="s">
        <v>165</v>
      </c>
      <c r="B3" s="42"/>
      <c r="C3" s="42"/>
      <c r="D3" s="42"/>
      <c r="E3" s="42"/>
      <c r="F3" s="42"/>
      <c r="G3" s="41" t="s">
        <v>166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1" t="s">
        <v>167</v>
      </c>
      <c r="U3" s="42"/>
      <c r="V3" s="42"/>
      <c r="W3" s="41" t="s">
        <v>168</v>
      </c>
      <c r="X3" s="42"/>
      <c r="Y3" s="42"/>
      <c r="Z3" s="42"/>
      <c r="AA3" s="42"/>
      <c r="AB3" s="42"/>
      <c r="AC3" s="42"/>
      <c r="AD3" s="42"/>
      <c r="AE3" s="41" t="s">
        <v>169</v>
      </c>
    </row>
    <row r="4" spans="1:31" ht="31.2" x14ac:dyDescent="0.4">
      <c r="A4" s="6" t="s">
        <v>170</v>
      </c>
      <c r="B4" s="6" t="s">
        <v>57</v>
      </c>
      <c r="C4" s="6" t="s">
        <v>58</v>
      </c>
      <c r="D4" s="6" t="s">
        <v>59</v>
      </c>
      <c r="E4" s="6" t="s">
        <v>60</v>
      </c>
      <c r="F4" s="6" t="s">
        <v>61</v>
      </c>
      <c r="G4" s="6" t="s">
        <v>171</v>
      </c>
      <c r="H4" s="6" t="s">
        <v>172</v>
      </c>
      <c r="I4" s="6" t="s">
        <v>173</v>
      </c>
      <c r="J4" s="6" t="s">
        <v>174</v>
      </c>
      <c r="K4" s="6" t="s">
        <v>175</v>
      </c>
      <c r="L4" s="6" t="s">
        <v>176</v>
      </c>
      <c r="M4" s="6" t="s">
        <v>177</v>
      </c>
      <c r="N4" s="6" t="s">
        <v>178</v>
      </c>
      <c r="O4" s="6" t="s">
        <v>179</v>
      </c>
      <c r="P4" s="6" t="s">
        <v>180</v>
      </c>
      <c r="Q4" s="6" t="s">
        <v>181</v>
      </c>
      <c r="R4" s="6" t="s">
        <v>182</v>
      </c>
      <c r="S4" s="6" t="s">
        <v>183</v>
      </c>
      <c r="T4" s="6" t="s">
        <v>184</v>
      </c>
      <c r="U4" s="6" t="s">
        <v>185</v>
      </c>
      <c r="V4" s="6" t="s">
        <v>186</v>
      </c>
      <c r="W4" s="6" t="s">
        <v>187</v>
      </c>
      <c r="X4" s="6" t="s">
        <v>188</v>
      </c>
      <c r="Y4" s="6" t="s">
        <v>189</v>
      </c>
      <c r="Z4" s="6" t="s">
        <v>190</v>
      </c>
      <c r="AA4" s="6" t="s">
        <v>191</v>
      </c>
      <c r="AB4" s="6" t="s">
        <v>192</v>
      </c>
      <c r="AC4" s="6" t="s">
        <v>193</v>
      </c>
      <c r="AD4" s="6" t="s">
        <v>194</v>
      </c>
      <c r="AE4" s="6" t="s">
        <v>169</v>
      </c>
    </row>
    <row r="5" spans="1:31" x14ac:dyDescent="0.4">
      <c r="A5" s="23">
        <v>46023</v>
      </c>
      <c r="B5" s="17">
        <v>1</v>
      </c>
      <c r="C5" s="24" t="str">
        <f>직원정보!B5</f>
        <v>S0001</v>
      </c>
      <c r="D5" s="25" t="str">
        <f>직원정보!C5</f>
        <v>가온누리</v>
      </c>
      <c r="E5" s="24" t="str">
        <f>직원정보!D5</f>
        <v>대표이사실</v>
      </c>
      <c r="F5" s="24" t="str">
        <f>직원정보!E5</f>
        <v>대표이사</v>
      </c>
      <c r="G5" s="14">
        <v>6500000</v>
      </c>
      <c r="H5" s="26">
        <f>ROUND(G5/요율기준!$B$14,0)</f>
        <v>31100</v>
      </c>
      <c r="I5" s="27">
        <v>0</v>
      </c>
      <c r="J5" s="27">
        <v>0</v>
      </c>
      <c r="K5" s="14">
        <v>0</v>
      </c>
      <c r="L5" s="26">
        <f>ROUND(H5*요율기준!$B$15*I5,0)</f>
        <v>0</v>
      </c>
      <c r="M5" s="26">
        <f>ROUND(H5*요율기준!$B$16*J5,0)</f>
        <v>0</v>
      </c>
      <c r="N5" s="14">
        <v>500000</v>
      </c>
      <c r="O5" s="14">
        <v>100000</v>
      </c>
      <c r="P5" s="14">
        <v>0</v>
      </c>
      <c r="Q5" s="14">
        <v>100000</v>
      </c>
      <c r="R5" s="14">
        <v>200000</v>
      </c>
      <c r="S5" s="14">
        <v>200000</v>
      </c>
      <c r="T5" s="28">
        <f t="shared" ref="T5:T68" si="1">G5+K5+L5+M5+N5+O5+P5+Q5+R5+S5</f>
        <v>7600000</v>
      </c>
      <c r="U5" s="26">
        <f>Q5+MIN(R5,요율기준!$B$17)+MIN(S5,요율기준!$B$18)</f>
        <v>500000</v>
      </c>
      <c r="V5" s="28">
        <f t="shared" ref="V5:V68" si="2">T5-U5</f>
        <v>7100000</v>
      </c>
      <c r="W5" s="29">
        <f>'4대보험'!F5</f>
        <v>286650</v>
      </c>
      <c r="X5" s="29">
        <f>'4대보험'!H5</f>
        <v>251690</v>
      </c>
      <c r="Y5" s="29">
        <f>'4대보험'!J5</f>
        <v>32590</v>
      </c>
      <c r="Z5" s="29">
        <f>'4대보험'!L5</f>
        <v>63900</v>
      </c>
      <c r="AA5" s="29">
        <f>세금!P5</f>
        <v>673170</v>
      </c>
      <c r="AB5" s="29">
        <f>세금!Q5</f>
        <v>67310</v>
      </c>
      <c r="AC5" s="14">
        <v>0</v>
      </c>
      <c r="AD5" s="28">
        <f t="shared" ref="AD5:AD68" si="3">SUM(W5:AC5)</f>
        <v>1375310</v>
      </c>
      <c r="AE5" s="28">
        <f t="shared" ref="AE5:AE68" si="4">T5-AD5</f>
        <v>6224690</v>
      </c>
    </row>
    <row r="6" spans="1:31" x14ac:dyDescent="0.4">
      <c r="A6" s="23">
        <v>46054</v>
      </c>
      <c r="B6" s="17">
        <v>1</v>
      </c>
      <c r="C6" s="24" t="str">
        <f>직원정보!B5</f>
        <v>S0001</v>
      </c>
      <c r="D6" s="25" t="str">
        <f>직원정보!C5</f>
        <v>가온누리</v>
      </c>
      <c r="E6" s="24" t="str">
        <f>직원정보!D5</f>
        <v>대표이사실</v>
      </c>
      <c r="F6" s="24" t="str">
        <f>직원정보!E5</f>
        <v>대표이사</v>
      </c>
      <c r="G6" s="14">
        <v>6500000</v>
      </c>
      <c r="H6" s="26">
        <f>ROUND(G6/요율기준!$B$14,0)</f>
        <v>31100</v>
      </c>
      <c r="I6" s="27">
        <v>4</v>
      </c>
      <c r="J6" s="27">
        <v>0</v>
      </c>
      <c r="K6" s="14">
        <v>0</v>
      </c>
      <c r="L6" s="26">
        <f>ROUND(H6*요율기준!$B$15*I6,0)</f>
        <v>186600</v>
      </c>
      <c r="M6" s="26">
        <f>ROUND(H6*요율기준!$B$16*J6,0)</f>
        <v>0</v>
      </c>
      <c r="N6" s="14">
        <v>500000</v>
      </c>
      <c r="O6" s="14">
        <v>100000</v>
      </c>
      <c r="P6" s="14">
        <v>0</v>
      </c>
      <c r="Q6" s="14">
        <v>100000</v>
      </c>
      <c r="R6" s="14">
        <v>200000</v>
      </c>
      <c r="S6" s="14">
        <v>200000</v>
      </c>
      <c r="T6" s="28">
        <f t="shared" si="1"/>
        <v>7786600</v>
      </c>
      <c r="U6" s="26">
        <f>Q6+MIN(R6,요율기준!$B$17)+MIN(S6,요율기준!$B$18)</f>
        <v>500000</v>
      </c>
      <c r="V6" s="28">
        <f t="shared" si="2"/>
        <v>7286600</v>
      </c>
      <c r="W6" s="29">
        <f>'4대보험'!F6</f>
        <v>286650</v>
      </c>
      <c r="X6" s="29">
        <f>'4대보험'!H6</f>
        <v>258300</v>
      </c>
      <c r="Y6" s="29">
        <f>'4대보험'!J6</f>
        <v>33440</v>
      </c>
      <c r="Z6" s="29">
        <f>'4대보험'!L6</f>
        <v>65570</v>
      </c>
      <c r="AA6" s="29">
        <f>세금!P6</f>
        <v>713930</v>
      </c>
      <c r="AB6" s="29">
        <f>세금!Q6</f>
        <v>71390</v>
      </c>
      <c r="AC6" s="14">
        <v>0</v>
      </c>
      <c r="AD6" s="28">
        <f t="shared" si="3"/>
        <v>1429280</v>
      </c>
      <c r="AE6" s="28">
        <f t="shared" si="4"/>
        <v>6357320</v>
      </c>
    </row>
    <row r="7" spans="1:31" x14ac:dyDescent="0.4">
      <c r="A7" s="23">
        <v>46082</v>
      </c>
      <c r="B7" s="17">
        <v>1</v>
      </c>
      <c r="C7" s="24" t="str">
        <f>직원정보!B5</f>
        <v>S0001</v>
      </c>
      <c r="D7" s="25" t="str">
        <f>직원정보!C5</f>
        <v>가온누리</v>
      </c>
      <c r="E7" s="24" t="str">
        <f>직원정보!D5</f>
        <v>대표이사실</v>
      </c>
      <c r="F7" s="24" t="str">
        <f>직원정보!E5</f>
        <v>대표이사</v>
      </c>
      <c r="G7" s="14">
        <v>6500000</v>
      </c>
      <c r="H7" s="26">
        <f>ROUND(G7/요율기준!$B$14,0)</f>
        <v>31100</v>
      </c>
      <c r="I7" s="27">
        <v>0</v>
      </c>
      <c r="J7" s="27">
        <v>0</v>
      </c>
      <c r="K7" s="14">
        <v>0</v>
      </c>
      <c r="L7" s="26">
        <f>ROUND(H7*요율기준!$B$15*I7,0)</f>
        <v>0</v>
      </c>
      <c r="M7" s="26">
        <f>ROUND(H7*요율기준!$B$16*J7,0)</f>
        <v>0</v>
      </c>
      <c r="N7" s="14">
        <v>500000</v>
      </c>
      <c r="O7" s="14">
        <v>100000</v>
      </c>
      <c r="P7" s="14">
        <v>0</v>
      </c>
      <c r="Q7" s="14">
        <v>100000</v>
      </c>
      <c r="R7" s="14">
        <v>200000</v>
      </c>
      <c r="S7" s="14">
        <v>200000</v>
      </c>
      <c r="T7" s="28">
        <f t="shared" si="1"/>
        <v>7600000</v>
      </c>
      <c r="U7" s="26">
        <f>Q7+MIN(R7,요율기준!$B$17)+MIN(S7,요율기준!$B$18)</f>
        <v>500000</v>
      </c>
      <c r="V7" s="28">
        <f t="shared" si="2"/>
        <v>7100000</v>
      </c>
      <c r="W7" s="29">
        <f>'4대보험'!F7</f>
        <v>286650</v>
      </c>
      <c r="X7" s="29">
        <f>'4대보험'!H7</f>
        <v>251690</v>
      </c>
      <c r="Y7" s="29">
        <f>'4대보험'!J7</f>
        <v>32590</v>
      </c>
      <c r="Z7" s="29">
        <f>'4대보험'!L7</f>
        <v>63900</v>
      </c>
      <c r="AA7" s="29">
        <f>세금!P7</f>
        <v>673170</v>
      </c>
      <c r="AB7" s="29">
        <f>세금!Q7</f>
        <v>67310</v>
      </c>
      <c r="AC7" s="14">
        <v>0</v>
      </c>
      <c r="AD7" s="28">
        <f t="shared" si="3"/>
        <v>1375310</v>
      </c>
      <c r="AE7" s="28">
        <f t="shared" si="4"/>
        <v>6224690</v>
      </c>
    </row>
    <row r="8" spans="1:31" x14ac:dyDescent="0.4">
      <c r="A8" s="23">
        <v>46113</v>
      </c>
      <c r="B8" s="17">
        <v>1</v>
      </c>
      <c r="C8" s="24" t="str">
        <f>직원정보!B5</f>
        <v>S0001</v>
      </c>
      <c r="D8" s="25" t="str">
        <f>직원정보!C5</f>
        <v>가온누리</v>
      </c>
      <c r="E8" s="24" t="str">
        <f>직원정보!D5</f>
        <v>대표이사실</v>
      </c>
      <c r="F8" s="24" t="str">
        <f>직원정보!E5</f>
        <v>대표이사</v>
      </c>
      <c r="G8" s="14">
        <v>6500000</v>
      </c>
      <c r="H8" s="26">
        <f>ROUND(G8/요율기준!$B$14,0)</f>
        <v>31100</v>
      </c>
      <c r="I8" s="27">
        <v>4</v>
      </c>
      <c r="J8" s="27">
        <v>0</v>
      </c>
      <c r="K8" s="14">
        <v>0</v>
      </c>
      <c r="L8" s="26">
        <f>ROUND(H8*요율기준!$B$15*I8,0)</f>
        <v>186600</v>
      </c>
      <c r="M8" s="26">
        <f>ROUND(H8*요율기준!$B$16*J8,0)</f>
        <v>0</v>
      </c>
      <c r="N8" s="14">
        <v>500000</v>
      </c>
      <c r="O8" s="14">
        <v>100000</v>
      </c>
      <c r="P8" s="14">
        <v>0</v>
      </c>
      <c r="Q8" s="14">
        <v>100000</v>
      </c>
      <c r="R8" s="14">
        <v>200000</v>
      </c>
      <c r="S8" s="14">
        <v>200000</v>
      </c>
      <c r="T8" s="28">
        <f t="shared" si="1"/>
        <v>7786600</v>
      </c>
      <c r="U8" s="26">
        <f>Q8+MIN(R8,요율기준!$B$17)+MIN(S8,요율기준!$B$18)</f>
        <v>500000</v>
      </c>
      <c r="V8" s="28">
        <f t="shared" si="2"/>
        <v>7286600</v>
      </c>
      <c r="W8" s="29">
        <f>'4대보험'!F8</f>
        <v>286650</v>
      </c>
      <c r="X8" s="29">
        <f>'4대보험'!H8</f>
        <v>258300</v>
      </c>
      <c r="Y8" s="29">
        <f>'4대보험'!J8</f>
        <v>33440</v>
      </c>
      <c r="Z8" s="29">
        <f>'4대보험'!L8</f>
        <v>65570</v>
      </c>
      <c r="AA8" s="29">
        <f>세금!P8</f>
        <v>713930</v>
      </c>
      <c r="AB8" s="29">
        <f>세금!Q8</f>
        <v>71390</v>
      </c>
      <c r="AC8" s="14">
        <v>0</v>
      </c>
      <c r="AD8" s="28">
        <f t="shared" si="3"/>
        <v>1429280</v>
      </c>
      <c r="AE8" s="28">
        <f t="shared" si="4"/>
        <v>6357320</v>
      </c>
    </row>
    <row r="9" spans="1:31" x14ac:dyDescent="0.4">
      <c r="A9" s="23">
        <v>46143</v>
      </c>
      <c r="B9" s="17">
        <v>1</v>
      </c>
      <c r="C9" s="24" t="str">
        <f>직원정보!B5</f>
        <v>S0001</v>
      </c>
      <c r="D9" s="25" t="str">
        <f>직원정보!C5</f>
        <v>가온누리</v>
      </c>
      <c r="E9" s="24" t="str">
        <f>직원정보!D5</f>
        <v>대표이사실</v>
      </c>
      <c r="F9" s="24" t="str">
        <f>직원정보!E5</f>
        <v>대표이사</v>
      </c>
      <c r="G9" s="14">
        <v>6500000</v>
      </c>
      <c r="H9" s="26">
        <f>ROUND(G9/요율기준!$B$14,0)</f>
        <v>31100</v>
      </c>
      <c r="I9" s="27">
        <v>0</v>
      </c>
      <c r="J9" s="27">
        <v>0</v>
      </c>
      <c r="K9" s="14">
        <v>0</v>
      </c>
      <c r="L9" s="26">
        <f>ROUND(H9*요율기준!$B$15*I9,0)</f>
        <v>0</v>
      </c>
      <c r="M9" s="26">
        <f>ROUND(H9*요율기준!$B$16*J9,0)</f>
        <v>0</v>
      </c>
      <c r="N9" s="14">
        <v>500000</v>
      </c>
      <c r="O9" s="14">
        <v>100000</v>
      </c>
      <c r="P9" s="14">
        <v>0</v>
      </c>
      <c r="Q9" s="14">
        <v>100000</v>
      </c>
      <c r="R9" s="14">
        <v>200000</v>
      </c>
      <c r="S9" s="14">
        <v>200000</v>
      </c>
      <c r="T9" s="28">
        <f t="shared" si="1"/>
        <v>7600000</v>
      </c>
      <c r="U9" s="26">
        <f>Q9+MIN(R9,요율기준!$B$17)+MIN(S9,요율기준!$B$18)</f>
        <v>500000</v>
      </c>
      <c r="V9" s="28">
        <f t="shared" si="2"/>
        <v>7100000</v>
      </c>
      <c r="W9" s="29">
        <f>'4대보험'!F9</f>
        <v>286650</v>
      </c>
      <c r="X9" s="29">
        <f>'4대보험'!H9</f>
        <v>251690</v>
      </c>
      <c r="Y9" s="29">
        <f>'4대보험'!J9</f>
        <v>32590</v>
      </c>
      <c r="Z9" s="29">
        <f>'4대보험'!L9</f>
        <v>63900</v>
      </c>
      <c r="AA9" s="29">
        <f>세금!P9</f>
        <v>673170</v>
      </c>
      <c r="AB9" s="29">
        <f>세금!Q9</f>
        <v>67310</v>
      </c>
      <c r="AC9" s="14">
        <v>0</v>
      </c>
      <c r="AD9" s="28">
        <f t="shared" si="3"/>
        <v>1375310</v>
      </c>
      <c r="AE9" s="28">
        <f t="shared" si="4"/>
        <v>6224690</v>
      </c>
    </row>
    <row r="10" spans="1:31" x14ac:dyDescent="0.4">
      <c r="A10" s="23">
        <v>46174</v>
      </c>
      <c r="B10" s="17">
        <v>1</v>
      </c>
      <c r="C10" s="24" t="str">
        <f>직원정보!B5</f>
        <v>S0001</v>
      </c>
      <c r="D10" s="25" t="str">
        <f>직원정보!C5</f>
        <v>가온누리</v>
      </c>
      <c r="E10" s="24" t="str">
        <f>직원정보!D5</f>
        <v>대표이사실</v>
      </c>
      <c r="F10" s="24" t="str">
        <f>직원정보!E5</f>
        <v>대표이사</v>
      </c>
      <c r="G10" s="14">
        <v>6500000</v>
      </c>
      <c r="H10" s="26">
        <f>ROUND(G10/요율기준!$B$14,0)</f>
        <v>31100</v>
      </c>
      <c r="I10" s="27">
        <v>4</v>
      </c>
      <c r="J10" s="27">
        <v>0</v>
      </c>
      <c r="K10" s="14">
        <v>0</v>
      </c>
      <c r="L10" s="26">
        <f>ROUND(H10*요율기준!$B$15*I10,0)</f>
        <v>186600</v>
      </c>
      <c r="M10" s="26">
        <f>ROUND(H10*요율기준!$B$16*J10,0)</f>
        <v>0</v>
      </c>
      <c r="N10" s="14">
        <v>500000</v>
      </c>
      <c r="O10" s="14">
        <v>100000</v>
      </c>
      <c r="P10" s="14">
        <v>0</v>
      </c>
      <c r="Q10" s="14">
        <v>100000</v>
      </c>
      <c r="R10" s="14">
        <v>200000</v>
      </c>
      <c r="S10" s="14">
        <v>200000</v>
      </c>
      <c r="T10" s="28">
        <f t="shared" si="1"/>
        <v>7786600</v>
      </c>
      <c r="U10" s="26">
        <f>Q10+MIN(R10,요율기준!$B$17)+MIN(S10,요율기준!$B$18)</f>
        <v>500000</v>
      </c>
      <c r="V10" s="28">
        <f t="shared" si="2"/>
        <v>7286600</v>
      </c>
      <c r="W10" s="29">
        <f>'4대보험'!F10</f>
        <v>286650</v>
      </c>
      <c r="X10" s="29">
        <f>'4대보험'!H10</f>
        <v>258300</v>
      </c>
      <c r="Y10" s="29">
        <f>'4대보험'!J10</f>
        <v>33440</v>
      </c>
      <c r="Z10" s="29">
        <f>'4대보험'!L10</f>
        <v>65570</v>
      </c>
      <c r="AA10" s="29">
        <f>세금!P10</f>
        <v>713930</v>
      </c>
      <c r="AB10" s="29">
        <f>세금!Q10</f>
        <v>71390</v>
      </c>
      <c r="AC10" s="14">
        <v>0</v>
      </c>
      <c r="AD10" s="28">
        <f t="shared" si="3"/>
        <v>1429280</v>
      </c>
      <c r="AE10" s="28">
        <f t="shared" si="4"/>
        <v>6357320</v>
      </c>
    </row>
    <row r="11" spans="1:31" x14ac:dyDescent="0.4">
      <c r="A11" s="23">
        <v>46204</v>
      </c>
      <c r="B11" s="17">
        <v>1</v>
      </c>
      <c r="C11" s="24" t="str">
        <f>직원정보!B5</f>
        <v>S0001</v>
      </c>
      <c r="D11" s="25" t="str">
        <f>직원정보!C5</f>
        <v>가온누리</v>
      </c>
      <c r="E11" s="24" t="str">
        <f>직원정보!D5</f>
        <v>대표이사실</v>
      </c>
      <c r="F11" s="24" t="str">
        <f>직원정보!E5</f>
        <v>대표이사</v>
      </c>
      <c r="G11" s="14">
        <v>6500000</v>
      </c>
      <c r="H11" s="26">
        <f>ROUND(G11/요율기준!$B$14,0)</f>
        <v>31100</v>
      </c>
      <c r="I11" s="27">
        <v>0</v>
      </c>
      <c r="J11" s="27">
        <v>0</v>
      </c>
      <c r="K11" s="14">
        <v>0</v>
      </c>
      <c r="L11" s="26">
        <f>ROUND(H11*요율기준!$B$15*I11,0)</f>
        <v>0</v>
      </c>
      <c r="M11" s="26">
        <f>ROUND(H11*요율기준!$B$16*J11,0)</f>
        <v>0</v>
      </c>
      <c r="N11" s="14">
        <v>500000</v>
      </c>
      <c r="O11" s="14">
        <v>100000</v>
      </c>
      <c r="P11" s="14">
        <v>0</v>
      </c>
      <c r="Q11" s="14">
        <v>100000</v>
      </c>
      <c r="R11" s="14">
        <v>200000</v>
      </c>
      <c r="S11" s="14">
        <v>200000</v>
      </c>
      <c r="T11" s="28">
        <f t="shared" si="1"/>
        <v>7600000</v>
      </c>
      <c r="U11" s="26">
        <f>Q11+MIN(R11,요율기준!$B$17)+MIN(S11,요율기준!$B$18)</f>
        <v>500000</v>
      </c>
      <c r="V11" s="28">
        <f t="shared" si="2"/>
        <v>7100000</v>
      </c>
      <c r="W11" s="29">
        <f>'4대보험'!F11</f>
        <v>286650</v>
      </c>
      <c r="X11" s="29">
        <f>'4대보험'!H11</f>
        <v>251690</v>
      </c>
      <c r="Y11" s="29">
        <f>'4대보험'!J11</f>
        <v>32590</v>
      </c>
      <c r="Z11" s="29">
        <f>'4대보험'!L11</f>
        <v>63900</v>
      </c>
      <c r="AA11" s="29">
        <f>세금!P11</f>
        <v>673170</v>
      </c>
      <c r="AB11" s="29">
        <f>세금!Q11</f>
        <v>67310</v>
      </c>
      <c r="AC11" s="14">
        <v>0</v>
      </c>
      <c r="AD11" s="28">
        <f t="shared" si="3"/>
        <v>1375310</v>
      </c>
      <c r="AE11" s="28">
        <f t="shared" si="4"/>
        <v>6224690</v>
      </c>
    </row>
    <row r="12" spans="1:31" x14ac:dyDescent="0.4">
      <c r="A12" s="23">
        <v>46235</v>
      </c>
      <c r="B12" s="17">
        <v>1</v>
      </c>
      <c r="C12" s="24" t="str">
        <f>직원정보!B5</f>
        <v>S0001</v>
      </c>
      <c r="D12" s="25" t="str">
        <f>직원정보!C5</f>
        <v>가온누리</v>
      </c>
      <c r="E12" s="24" t="str">
        <f>직원정보!D5</f>
        <v>대표이사실</v>
      </c>
      <c r="F12" s="24" t="str">
        <f>직원정보!E5</f>
        <v>대표이사</v>
      </c>
      <c r="G12" s="14">
        <v>6500000</v>
      </c>
      <c r="H12" s="26">
        <f>ROUND(G12/요율기준!$B$14,0)</f>
        <v>31100</v>
      </c>
      <c r="I12" s="27">
        <v>4</v>
      </c>
      <c r="J12" s="27">
        <v>0</v>
      </c>
      <c r="K12" s="14">
        <v>0</v>
      </c>
      <c r="L12" s="26">
        <f>ROUND(H12*요율기준!$B$15*I12,0)</f>
        <v>186600</v>
      </c>
      <c r="M12" s="26">
        <f>ROUND(H12*요율기준!$B$16*J12,0)</f>
        <v>0</v>
      </c>
      <c r="N12" s="14">
        <v>500000</v>
      </c>
      <c r="O12" s="14">
        <v>100000</v>
      </c>
      <c r="P12" s="14">
        <v>0</v>
      </c>
      <c r="Q12" s="14">
        <v>100000</v>
      </c>
      <c r="R12" s="14">
        <v>200000</v>
      </c>
      <c r="S12" s="14">
        <v>200000</v>
      </c>
      <c r="T12" s="28">
        <f t="shared" si="1"/>
        <v>7786600</v>
      </c>
      <c r="U12" s="26">
        <f>Q12+MIN(R12,요율기준!$B$17)+MIN(S12,요율기준!$B$18)</f>
        <v>500000</v>
      </c>
      <c r="V12" s="28">
        <f t="shared" si="2"/>
        <v>7286600</v>
      </c>
      <c r="W12" s="29">
        <f>'4대보험'!F12</f>
        <v>286650</v>
      </c>
      <c r="X12" s="29">
        <f>'4대보험'!H12</f>
        <v>258300</v>
      </c>
      <c r="Y12" s="29">
        <f>'4대보험'!J12</f>
        <v>33440</v>
      </c>
      <c r="Z12" s="29">
        <f>'4대보험'!L12</f>
        <v>65570</v>
      </c>
      <c r="AA12" s="29">
        <f>세금!P12</f>
        <v>713930</v>
      </c>
      <c r="AB12" s="29">
        <f>세금!Q12</f>
        <v>71390</v>
      </c>
      <c r="AC12" s="14">
        <v>0</v>
      </c>
      <c r="AD12" s="28">
        <f t="shared" si="3"/>
        <v>1429280</v>
      </c>
      <c r="AE12" s="28">
        <f t="shared" si="4"/>
        <v>6357320</v>
      </c>
    </row>
    <row r="13" spans="1:31" x14ac:dyDescent="0.4">
      <c r="A13" s="23">
        <v>46266</v>
      </c>
      <c r="B13" s="17">
        <v>1</v>
      </c>
      <c r="C13" s="24" t="str">
        <f>직원정보!B5</f>
        <v>S0001</v>
      </c>
      <c r="D13" s="25" t="str">
        <f>직원정보!C5</f>
        <v>가온누리</v>
      </c>
      <c r="E13" s="24" t="str">
        <f>직원정보!D5</f>
        <v>대표이사실</v>
      </c>
      <c r="F13" s="24" t="str">
        <f>직원정보!E5</f>
        <v>대표이사</v>
      </c>
      <c r="G13" s="14">
        <v>6500000</v>
      </c>
      <c r="H13" s="26">
        <f>ROUND(G13/요율기준!$B$14,0)</f>
        <v>31100</v>
      </c>
      <c r="I13" s="27">
        <v>0</v>
      </c>
      <c r="J13" s="27">
        <v>0</v>
      </c>
      <c r="K13" s="14">
        <v>0</v>
      </c>
      <c r="L13" s="26">
        <f>ROUND(H13*요율기준!$B$15*I13,0)</f>
        <v>0</v>
      </c>
      <c r="M13" s="26">
        <f>ROUND(H13*요율기준!$B$16*J13,0)</f>
        <v>0</v>
      </c>
      <c r="N13" s="14">
        <v>500000</v>
      </c>
      <c r="O13" s="14">
        <v>100000</v>
      </c>
      <c r="P13" s="14">
        <v>0</v>
      </c>
      <c r="Q13" s="14">
        <v>100000</v>
      </c>
      <c r="R13" s="14">
        <v>200000</v>
      </c>
      <c r="S13" s="14">
        <v>200000</v>
      </c>
      <c r="T13" s="28">
        <f t="shared" si="1"/>
        <v>7600000</v>
      </c>
      <c r="U13" s="26">
        <f>Q13+MIN(R13,요율기준!$B$17)+MIN(S13,요율기준!$B$18)</f>
        <v>500000</v>
      </c>
      <c r="V13" s="28">
        <f t="shared" si="2"/>
        <v>7100000</v>
      </c>
      <c r="W13" s="29">
        <f>'4대보험'!F13</f>
        <v>286650</v>
      </c>
      <c r="X13" s="29">
        <f>'4대보험'!H13</f>
        <v>251690</v>
      </c>
      <c r="Y13" s="29">
        <f>'4대보험'!J13</f>
        <v>32590</v>
      </c>
      <c r="Z13" s="29">
        <f>'4대보험'!L13</f>
        <v>63900</v>
      </c>
      <c r="AA13" s="29">
        <f>세금!P13</f>
        <v>673170</v>
      </c>
      <c r="AB13" s="29">
        <f>세금!Q13</f>
        <v>67310</v>
      </c>
      <c r="AC13" s="14">
        <v>0</v>
      </c>
      <c r="AD13" s="28">
        <f t="shared" si="3"/>
        <v>1375310</v>
      </c>
      <c r="AE13" s="28">
        <f t="shared" si="4"/>
        <v>6224690</v>
      </c>
    </row>
    <row r="14" spans="1:31" x14ac:dyDescent="0.4">
      <c r="A14" s="23">
        <v>46296</v>
      </c>
      <c r="B14" s="17">
        <v>1</v>
      </c>
      <c r="C14" s="24" t="str">
        <f>직원정보!B5</f>
        <v>S0001</v>
      </c>
      <c r="D14" s="25" t="str">
        <f>직원정보!C5</f>
        <v>가온누리</v>
      </c>
      <c r="E14" s="24" t="str">
        <f>직원정보!D5</f>
        <v>대표이사실</v>
      </c>
      <c r="F14" s="24" t="str">
        <f>직원정보!E5</f>
        <v>대표이사</v>
      </c>
      <c r="G14" s="14">
        <v>6500000</v>
      </c>
      <c r="H14" s="26">
        <f>ROUND(G14/요율기준!$B$14,0)</f>
        <v>31100</v>
      </c>
      <c r="I14" s="27">
        <v>4</v>
      </c>
      <c r="J14" s="27">
        <v>0</v>
      </c>
      <c r="K14" s="14">
        <v>0</v>
      </c>
      <c r="L14" s="26">
        <f>ROUND(H14*요율기준!$B$15*I14,0)</f>
        <v>186600</v>
      </c>
      <c r="M14" s="26">
        <f>ROUND(H14*요율기준!$B$16*J14,0)</f>
        <v>0</v>
      </c>
      <c r="N14" s="14">
        <v>500000</v>
      </c>
      <c r="O14" s="14">
        <v>100000</v>
      </c>
      <c r="P14" s="14">
        <v>0</v>
      </c>
      <c r="Q14" s="14">
        <v>100000</v>
      </c>
      <c r="R14" s="14">
        <v>200000</v>
      </c>
      <c r="S14" s="14">
        <v>200000</v>
      </c>
      <c r="T14" s="28">
        <f t="shared" si="1"/>
        <v>7786600</v>
      </c>
      <c r="U14" s="26">
        <f>Q14+MIN(R14,요율기준!$B$17)+MIN(S14,요율기준!$B$18)</f>
        <v>500000</v>
      </c>
      <c r="V14" s="28">
        <f t="shared" si="2"/>
        <v>7286600</v>
      </c>
      <c r="W14" s="29">
        <f>'4대보험'!F14</f>
        <v>286650</v>
      </c>
      <c r="X14" s="29">
        <f>'4대보험'!H14</f>
        <v>258300</v>
      </c>
      <c r="Y14" s="29">
        <f>'4대보험'!J14</f>
        <v>33440</v>
      </c>
      <c r="Z14" s="29">
        <f>'4대보험'!L14</f>
        <v>65570</v>
      </c>
      <c r="AA14" s="29">
        <f>세금!P14</f>
        <v>713930</v>
      </c>
      <c r="AB14" s="29">
        <f>세금!Q14</f>
        <v>71390</v>
      </c>
      <c r="AC14" s="14">
        <v>0</v>
      </c>
      <c r="AD14" s="28">
        <f t="shared" si="3"/>
        <v>1429280</v>
      </c>
      <c r="AE14" s="28">
        <f t="shared" si="4"/>
        <v>6357320</v>
      </c>
    </row>
    <row r="15" spans="1:31" x14ac:dyDescent="0.4">
      <c r="A15" s="23">
        <v>46327</v>
      </c>
      <c r="B15" s="17">
        <v>1</v>
      </c>
      <c r="C15" s="24" t="str">
        <f>직원정보!B5</f>
        <v>S0001</v>
      </c>
      <c r="D15" s="25" t="str">
        <f>직원정보!C5</f>
        <v>가온누리</v>
      </c>
      <c r="E15" s="24" t="str">
        <f>직원정보!D5</f>
        <v>대표이사실</v>
      </c>
      <c r="F15" s="24" t="str">
        <f>직원정보!E5</f>
        <v>대표이사</v>
      </c>
      <c r="G15" s="14">
        <v>6500000</v>
      </c>
      <c r="H15" s="26">
        <f>ROUND(G15/요율기준!$B$14,0)</f>
        <v>31100</v>
      </c>
      <c r="I15" s="27">
        <v>0</v>
      </c>
      <c r="J15" s="27">
        <v>0</v>
      </c>
      <c r="K15" s="14">
        <v>0</v>
      </c>
      <c r="L15" s="26">
        <f>ROUND(H15*요율기준!$B$15*I15,0)</f>
        <v>0</v>
      </c>
      <c r="M15" s="26">
        <f>ROUND(H15*요율기준!$B$16*J15,0)</f>
        <v>0</v>
      </c>
      <c r="N15" s="14">
        <v>500000</v>
      </c>
      <c r="O15" s="14">
        <v>100000</v>
      </c>
      <c r="P15" s="14">
        <v>0</v>
      </c>
      <c r="Q15" s="14">
        <v>100000</v>
      </c>
      <c r="R15" s="14">
        <v>200000</v>
      </c>
      <c r="S15" s="14">
        <v>200000</v>
      </c>
      <c r="T15" s="28">
        <f t="shared" si="1"/>
        <v>7600000</v>
      </c>
      <c r="U15" s="26">
        <f>Q15+MIN(R15,요율기준!$B$17)+MIN(S15,요율기준!$B$18)</f>
        <v>500000</v>
      </c>
      <c r="V15" s="28">
        <f t="shared" si="2"/>
        <v>7100000</v>
      </c>
      <c r="W15" s="29">
        <f>'4대보험'!F15</f>
        <v>286650</v>
      </c>
      <c r="X15" s="29">
        <f>'4대보험'!H15</f>
        <v>251690</v>
      </c>
      <c r="Y15" s="29">
        <f>'4대보험'!J15</f>
        <v>32590</v>
      </c>
      <c r="Z15" s="29">
        <f>'4대보험'!L15</f>
        <v>63900</v>
      </c>
      <c r="AA15" s="29">
        <f>세금!P15</f>
        <v>673170</v>
      </c>
      <c r="AB15" s="29">
        <f>세금!Q15</f>
        <v>67310</v>
      </c>
      <c r="AC15" s="14">
        <v>0</v>
      </c>
      <c r="AD15" s="28">
        <f t="shared" si="3"/>
        <v>1375310</v>
      </c>
      <c r="AE15" s="28">
        <f t="shared" si="4"/>
        <v>6224690</v>
      </c>
    </row>
    <row r="16" spans="1:31" x14ac:dyDescent="0.4">
      <c r="A16" s="23">
        <v>46357</v>
      </c>
      <c r="B16" s="17">
        <v>1</v>
      </c>
      <c r="C16" s="24" t="str">
        <f>직원정보!B5</f>
        <v>S0001</v>
      </c>
      <c r="D16" s="25" t="str">
        <f>직원정보!C5</f>
        <v>가온누리</v>
      </c>
      <c r="E16" s="24" t="str">
        <f>직원정보!D5</f>
        <v>대표이사실</v>
      </c>
      <c r="F16" s="24" t="str">
        <f>직원정보!E5</f>
        <v>대표이사</v>
      </c>
      <c r="G16" s="14">
        <v>6500000</v>
      </c>
      <c r="H16" s="26">
        <f>ROUND(G16/요율기준!$B$14,0)</f>
        <v>31100</v>
      </c>
      <c r="I16" s="27">
        <v>4</v>
      </c>
      <c r="J16" s="27">
        <v>0</v>
      </c>
      <c r="K16" s="14">
        <v>0</v>
      </c>
      <c r="L16" s="26">
        <f>ROUND(H16*요율기준!$B$15*I16,0)</f>
        <v>186600</v>
      </c>
      <c r="M16" s="26">
        <f>ROUND(H16*요율기준!$B$16*J16,0)</f>
        <v>0</v>
      </c>
      <c r="N16" s="14">
        <v>500000</v>
      </c>
      <c r="O16" s="14">
        <v>100000</v>
      </c>
      <c r="P16" s="14">
        <v>0</v>
      </c>
      <c r="Q16" s="14">
        <v>100000</v>
      </c>
      <c r="R16" s="14">
        <v>200000</v>
      </c>
      <c r="S16" s="14">
        <v>200000</v>
      </c>
      <c r="T16" s="28">
        <f t="shared" si="1"/>
        <v>7786600</v>
      </c>
      <c r="U16" s="26">
        <f>Q16+MIN(R16,요율기준!$B$17)+MIN(S16,요율기준!$B$18)</f>
        <v>500000</v>
      </c>
      <c r="V16" s="28">
        <f t="shared" si="2"/>
        <v>7286600</v>
      </c>
      <c r="W16" s="29">
        <f>'4대보험'!F16</f>
        <v>286650</v>
      </c>
      <c r="X16" s="29">
        <f>'4대보험'!H16</f>
        <v>258300</v>
      </c>
      <c r="Y16" s="29">
        <f>'4대보험'!J16</f>
        <v>33440</v>
      </c>
      <c r="Z16" s="29">
        <f>'4대보험'!L16</f>
        <v>65570</v>
      </c>
      <c r="AA16" s="29">
        <f>세금!P16</f>
        <v>713930</v>
      </c>
      <c r="AB16" s="29">
        <f>세금!Q16</f>
        <v>71390</v>
      </c>
      <c r="AC16" s="14">
        <v>0</v>
      </c>
      <c r="AD16" s="28">
        <f t="shared" si="3"/>
        <v>1429280</v>
      </c>
      <c r="AE16" s="28">
        <f t="shared" si="4"/>
        <v>6357320</v>
      </c>
    </row>
    <row r="17" spans="1:31" x14ac:dyDescent="0.4">
      <c r="A17" s="23">
        <v>46023</v>
      </c>
      <c r="B17" s="17">
        <v>2</v>
      </c>
      <c r="C17" s="24" t="str">
        <f>직원정보!B6</f>
        <v>S0002</v>
      </c>
      <c r="D17" s="25" t="str">
        <f>직원정보!C6</f>
        <v>나래솔</v>
      </c>
      <c r="E17" s="24" t="str">
        <f>직원정보!D6</f>
        <v>대표이사실</v>
      </c>
      <c r="F17" s="24" t="str">
        <f>직원정보!E6</f>
        <v>이사</v>
      </c>
      <c r="G17" s="14">
        <v>5200000</v>
      </c>
      <c r="H17" s="26">
        <f>ROUND(G17/요율기준!$B$14,0)</f>
        <v>24880</v>
      </c>
      <c r="I17" s="27">
        <v>4</v>
      </c>
      <c r="J17" s="27">
        <v>0</v>
      </c>
      <c r="K17" s="14">
        <v>0</v>
      </c>
      <c r="L17" s="26">
        <f>ROUND(H17*요율기준!$B$15*I17,0)</f>
        <v>149280</v>
      </c>
      <c r="M17" s="26">
        <f>ROUND(H17*요율기준!$B$16*J17,0)</f>
        <v>0</v>
      </c>
      <c r="N17" s="14">
        <v>300000</v>
      </c>
      <c r="O17" s="14">
        <v>100000</v>
      </c>
      <c r="P17" s="14">
        <v>0</v>
      </c>
      <c r="Q17" s="14">
        <v>100000</v>
      </c>
      <c r="R17" s="14">
        <v>200000</v>
      </c>
      <c r="S17" s="14">
        <v>200000</v>
      </c>
      <c r="T17" s="28">
        <f t="shared" si="1"/>
        <v>6249280</v>
      </c>
      <c r="U17" s="26">
        <f>Q17+MIN(R17,요율기준!$B$17)+MIN(S17,요율기준!$B$18)</f>
        <v>500000</v>
      </c>
      <c r="V17" s="28">
        <f t="shared" si="2"/>
        <v>5749280</v>
      </c>
      <c r="W17" s="29">
        <f>'4대보험'!F17</f>
        <v>258710</v>
      </c>
      <c r="X17" s="29">
        <f>'4대보험'!H17</f>
        <v>203810</v>
      </c>
      <c r="Y17" s="29">
        <f>'4대보험'!J17</f>
        <v>26390</v>
      </c>
      <c r="Z17" s="29">
        <f>'4대보험'!L17</f>
        <v>51740</v>
      </c>
      <c r="AA17" s="29">
        <f>세금!P17</f>
        <v>406590</v>
      </c>
      <c r="AB17" s="29">
        <f>세금!Q17</f>
        <v>40650</v>
      </c>
      <c r="AC17" s="14">
        <v>0</v>
      </c>
      <c r="AD17" s="28">
        <f t="shared" si="3"/>
        <v>987890</v>
      </c>
      <c r="AE17" s="28">
        <f t="shared" si="4"/>
        <v>5261390</v>
      </c>
    </row>
    <row r="18" spans="1:31" x14ac:dyDescent="0.4">
      <c r="A18" s="23">
        <v>46054</v>
      </c>
      <c r="B18" s="17">
        <v>2</v>
      </c>
      <c r="C18" s="24" t="str">
        <f>직원정보!B6</f>
        <v>S0002</v>
      </c>
      <c r="D18" s="25" t="str">
        <f>직원정보!C6</f>
        <v>나래솔</v>
      </c>
      <c r="E18" s="24" t="str">
        <f>직원정보!D6</f>
        <v>대표이사실</v>
      </c>
      <c r="F18" s="24" t="str">
        <f>직원정보!E6</f>
        <v>이사</v>
      </c>
      <c r="G18" s="14">
        <v>5200000</v>
      </c>
      <c r="H18" s="26">
        <f>ROUND(G18/요율기준!$B$14,0)</f>
        <v>24880</v>
      </c>
      <c r="I18" s="27">
        <v>0</v>
      </c>
      <c r="J18" s="27">
        <v>0</v>
      </c>
      <c r="K18" s="14">
        <v>0</v>
      </c>
      <c r="L18" s="26">
        <f>ROUND(H18*요율기준!$B$15*I18,0)</f>
        <v>0</v>
      </c>
      <c r="M18" s="26">
        <f>ROUND(H18*요율기준!$B$16*J18,0)</f>
        <v>0</v>
      </c>
      <c r="N18" s="14">
        <v>300000</v>
      </c>
      <c r="O18" s="14">
        <v>100000</v>
      </c>
      <c r="P18" s="14">
        <v>0</v>
      </c>
      <c r="Q18" s="14">
        <v>100000</v>
      </c>
      <c r="R18" s="14">
        <v>200000</v>
      </c>
      <c r="S18" s="14">
        <v>200000</v>
      </c>
      <c r="T18" s="28">
        <f t="shared" si="1"/>
        <v>6100000</v>
      </c>
      <c r="U18" s="26">
        <f>Q18+MIN(R18,요율기준!$B$17)+MIN(S18,요율기준!$B$18)</f>
        <v>500000</v>
      </c>
      <c r="V18" s="28">
        <f t="shared" si="2"/>
        <v>5600000</v>
      </c>
      <c r="W18" s="29">
        <f>'4대보험'!F18</f>
        <v>252000</v>
      </c>
      <c r="X18" s="29">
        <f>'4대보험'!H18</f>
        <v>198520</v>
      </c>
      <c r="Y18" s="29">
        <f>'4대보험'!J18</f>
        <v>25700</v>
      </c>
      <c r="Z18" s="29">
        <f>'4대보험'!L18</f>
        <v>50400</v>
      </c>
      <c r="AA18" s="29">
        <f>세금!P18</f>
        <v>387220</v>
      </c>
      <c r="AB18" s="29">
        <f>세금!Q18</f>
        <v>38720</v>
      </c>
      <c r="AC18" s="14">
        <v>0</v>
      </c>
      <c r="AD18" s="28">
        <f t="shared" si="3"/>
        <v>952560</v>
      </c>
      <c r="AE18" s="28">
        <f t="shared" si="4"/>
        <v>5147440</v>
      </c>
    </row>
    <row r="19" spans="1:31" x14ac:dyDescent="0.4">
      <c r="A19" s="23">
        <v>46082</v>
      </c>
      <c r="B19" s="17">
        <v>2</v>
      </c>
      <c r="C19" s="24" t="str">
        <f>직원정보!B6</f>
        <v>S0002</v>
      </c>
      <c r="D19" s="25" t="str">
        <f>직원정보!C6</f>
        <v>나래솔</v>
      </c>
      <c r="E19" s="24" t="str">
        <f>직원정보!D6</f>
        <v>대표이사실</v>
      </c>
      <c r="F19" s="24" t="str">
        <f>직원정보!E6</f>
        <v>이사</v>
      </c>
      <c r="G19" s="14">
        <v>5200000</v>
      </c>
      <c r="H19" s="26">
        <f>ROUND(G19/요율기준!$B$14,0)</f>
        <v>24880</v>
      </c>
      <c r="I19" s="27">
        <v>4</v>
      </c>
      <c r="J19" s="27">
        <v>0</v>
      </c>
      <c r="K19" s="14">
        <v>0</v>
      </c>
      <c r="L19" s="26">
        <f>ROUND(H19*요율기준!$B$15*I19,0)</f>
        <v>149280</v>
      </c>
      <c r="M19" s="26">
        <f>ROUND(H19*요율기준!$B$16*J19,0)</f>
        <v>0</v>
      </c>
      <c r="N19" s="14">
        <v>300000</v>
      </c>
      <c r="O19" s="14">
        <v>100000</v>
      </c>
      <c r="P19" s="14">
        <v>0</v>
      </c>
      <c r="Q19" s="14">
        <v>100000</v>
      </c>
      <c r="R19" s="14">
        <v>200000</v>
      </c>
      <c r="S19" s="14">
        <v>200000</v>
      </c>
      <c r="T19" s="28">
        <f t="shared" si="1"/>
        <v>6249280</v>
      </c>
      <c r="U19" s="26">
        <f>Q19+MIN(R19,요율기준!$B$17)+MIN(S19,요율기준!$B$18)</f>
        <v>500000</v>
      </c>
      <c r="V19" s="28">
        <f t="shared" si="2"/>
        <v>5749280</v>
      </c>
      <c r="W19" s="29">
        <f>'4대보험'!F19</f>
        <v>258710</v>
      </c>
      <c r="X19" s="29">
        <f>'4대보험'!H19</f>
        <v>203810</v>
      </c>
      <c r="Y19" s="29">
        <f>'4대보험'!J19</f>
        <v>26390</v>
      </c>
      <c r="Z19" s="29">
        <f>'4대보험'!L19</f>
        <v>51740</v>
      </c>
      <c r="AA19" s="29">
        <f>세금!P19</f>
        <v>406590</v>
      </c>
      <c r="AB19" s="29">
        <f>세금!Q19</f>
        <v>40650</v>
      </c>
      <c r="AC19" s="14">
        <v>0</v>
      </c>
      <c r="AD19" s="28">
        <f t="shared" si="3"/>
        <v>987890</v>
      </c>
      <c r="AE19" s="28">
        <f t="shared" si="4"/>
        <v>5261390</v>
      </c>
    </row>
    <row r="20" spans="1:31" x14ac:dyDescent="0.4">
      <c r="A20" s="23">
        <v>46113</v>
      </c>
      <c r="B20" s="17">
        <v>2</v>
      </c>
      <c r="C20" s="24" t="str">
        <f>직원정보!B6</f>
        <v>S0002</v>
      </c>
      <c r="D20" s="25" t="str">
        <f>직원정보!C6</f>
        <v>나래솔</v>
      </c>
      <c r="E20" s="24" t="str">
        <f>직원정보!D6</f>
        <v>대표이사실</v>
      </c>
      <c r="F20" s="24" t="str">
        <f>직원정보!E6</f>
        <v>이사</v>
      </c>
      <c r="G20" s="14">
        <v>5200000</v>
      </c>
      <c r="H20" s="26">
        <f>ROUND(G20/요율기준!$B$14,0)</f>
        <v>24880</v>
      </c>
      <c r="I20" s="27">
        <v>0</v>
      </c>
      <c r="J20" s="27">
        <v>0</v>
      </c>
      <c r="K20" s="14">
        <v>0</v>
      </c>
      <c r="L20" s="26">
        <f>ROUND(H20*요율기준!$B$15*I20,0)</f>
        <v>0</v>
      </c>
      <c r="M20" s="26">
        <f>ROUND(H20*요율기준!$B$16*J20,0)</f>
        <v>0</v>
      </c>
      <c r="N20" s="14">
        <v>300000</v>
      </c>
      <c r="O20" s="14">
        <v>100000</v>
      </c>
      <c r="P20" s="14">
        <v>0</v>
      </c>
      <c r="Q20" s="14">
        <v>100000</v>
      </c>
      <c r="R20" s="14">
        <v>200000</v>
      </c>
      <c r="S20" s="14">
        <v>200000</v>
      </c>
      <c r="T20" s="28">
        <f t="shared" si="1"/>
        <v>6100000</v>
      </c>
      <c r="U20" s="26">
        <f>Q20+MIN(R20,요율기준!$B$17)+MIN(S20,요율기준!$B$18)</f>
        <v>500000</v>
      </c>
      <c r="V20" s="28">
        <f t="shared" si="2"/>
        <v>5600000</v>
      </c>
      <c r="W20" s="29">
        <f>'4대보험'!F20</f>
        <v>252000</v>
      </c>
      <c r="X20" s="29">
        <f>'4대보험'!H20</f>
        <v>198520</v>
      </c>
      <c r="Y20" s="29">
        <f>'4대보험'!J20</f>
        <v>25700</v>
      </c>
      <c r="Z20" s="29">
        <f>'4대보험'!L20</f>
        <v>50400</v>
      </c>
      <c r="AA20" s="29">
        <f>세금!P20</f>
        <v>387220</v>
      </c>
      <c r="AB20" s="29">
        <f>세금!Q20</f>
        <v>38720</v>
      </c>
      <c r="AC20" s="14">
        <v>0</v>
      </c>
      <c r="AD20" s="28">
        <f t="shared" si="3"/>
        <v>952560</v>
      </c>
      <c r="AE20" s="28">
        <f t="shared" si="4"/>
        <v>5147440</v>
      </c>
    </row>
    <row r="21" spans="1:31" x14ac:dyDescent="0.4">
      <c r="A21" s="23">
        <v>46143</v>
      </c>
      <c r="B21" s="17">
        <v>2</v>
      </c>
      <c r="C21" s="24" t="str">
        <f>직원정보!B6</f>
        <v>S0002</v>
      </c>
      <c r="D21" s="25" t="str">
        <f>직원정보!C6</f>
        <v>나래솔</v>
      </c>
      <c r="E21" s="24" t="str">
        <f>직원정보!D6</f>
        <v>대표이사실</v>
      </c>
      <c r="F21" s="24" t="str">
        <f>직원정보!E6</f>
        <v>이사</v>
      </c>
      <c r="G21" s="14">
        <v>5200000</v>
      </c>
      <c r="H21" s="26">
        <f>ROUND(G21/요율기준!$B$14,0)</f>
        <v>24880</v>
      </c>
      <c r="I21" s="27">
        <v>4</v>
      </c>
      <c r="J21" s="27">
        <v>0</v>
      </c>
      <c r="K21" s="14">
        <v>0</v>
      </c>
      <c r="L21" s="26">
        <f>ROUND(H21*요율기준!$B$15*I21,0)</f>
        <v>149280</v>
      </c>
      <c r="M21" s="26">
        <f>ROUND(H21*요율기준!$B$16*J21,0)</f>
        <v>0</v>
      </c>
      <c r="N21" s="14">
        <v>300000</v>
      </c>
      <c r="O21" s="14">
        <v>100000</v>
      </c>
      <c r="P21" s="14">
        <v>0</v>
      </c>
      <c r="Q21" s="14">
        <v>100000</v>
      </c>
      <c r="R21" s="14">
        <v>200000</v>
      </c>
      <c r="S21" s="14">
        <v>200000</v>
      </c>
      <c r="T21" s="28">
        <f t="shared" si="1"/>
        <v>6249280</v>
      </c>
      <c r="U21" s="26">
        <f>Q21+MIN(R21,요율기준!$B$17)+MIN(S21,요율기준!$B$18)</f>
        <v>500000</v>
      </c>
      <c r="V21" s="28">
        <f t="shared" si="2"/>
        <v>5749280</v>
      </c>
      <c r="W21" s="29">
        <f>'4대보험'!F21</f>
        <v>258710</v>
      </c>
      <c r="X21" s="29">
        <f>'4대보험'!H21</f>
        <v>203810</v>
      </c>
      <c r="Y21" s="29">
        <f>'4대보험'!J21</f>
        <v>26390</v>
      </c>
      <c r="Z21" s="29">
        <f>'4대보험'!L21</f>
        <v>51740</v>
      </c>
      <c r="AA21" s="29">
        <f>세금!P21</f>
        <v>406590</v>
      </c>
      <c r="AB21" s="29">
        <f>세금!Q21</f>
        <v>40650</v>
      </c>
      <c r="AC21" s="14">
        <v>0</v>
      </c>
      <c r="AD21" s="28">
        <f t="shared" si="3"/>
        <v>987890</v>
      </c>
      <c r="AE21" s="28">
        <f t="shared" si="4"/>
        <v>5261390</v>
      </c>
    </row>
    <row r="22" spans="1:31" x14ac:dyDescent="0.4">
      <c r="A22" s="23">
        <v>46174</v>
      </c>
      <c r="B22" s="17">
        <v>2</v>
      </c>
      <c r="C22" s="24" t="str">
        <f>직원정보!B6</f>
        <v>S0002</v>
      </c>
      <c r="D22" s="25" t="str">
        <f>직원정보!C6</f>
        <v>나래솔</v>
      </c>
      <c r="E22" s="24" t="str">
        <f>직원정보!D6</f>
        <v>대표이사실</v>
      </c>
      <c r="F22" s="24" t="str">
        <f>직원정보!E6</f>
        <v>이사</v>
      </c>
      <c r="G22" s="14">
        <v>5200000</v>
      </c>
      <c r="H22" s="26">
        <f>ROUND(G22/요율기준!$B$14,0)</f>
        <v>24880</v>
      </c>
      <c r="I22" s="27">
        <v>0</v>
      </c>
      <c r="J22" s="27">
        <v>0</v>
      </c>
      <c r="K22" s="14">
        <v>0</v>
      </c>
      <c r="L22" s="26">
        <f>ROUND(H22*요율기준!$B$15*I22,0)</f>
        <v>0</v>
      </c>
      <c r="M22" s="26">
        <f>ROUND(H22*요율기준!$B$16*J22,0)</f>
        <v>0</v>
      </c>
      <c r="N22" s="14">
        <v>300000</v>
      </c>
      <c r="O22" s="14">
        <v>100000</v>
      </c>
      <c r="P22" s="14">
        <v>0</v>
      </c>
      <c r="Q22" s="14">
        <v>100000</v>
      </c>
      <c r="R22" s="14">
        <v>200000</v>
      </c>
      <c r="S22" s="14">
        <v>200000</v>
      </c>
      <c r="T22" s="28">
        <f t="shared" si="1"/>
        <v>6100000</v>
      </c>
      <c r="U22" s="26">
        <f>Q22+MIN(R22,요율기준!$B$17)+MIN(S22,요율기준!$B$18)</f>
        <v>500000</v>
      </c>
      <c r="V22" s="28">
        <f t="shared" si="2"/>
        <v>5600000</v>
      </c>
      <c r="W22" s="29">
        <f>'4대보험'!F22</f>
        <v>252000</v>
      </c>
      <c r="X22" s="29">
        <f>'4대보험'!H22</f>
        <v>198520</v>
      </c>
      <c r="Y22" s="29">
        <f>'4대보험'!J22</f>
        <v>25700</v>
      </c>
      <c r="Z22" s="29">
        <f>'4대보험'!L22</f>
        <v>50400</v>
      </c>
      <c r="AA22" s="29">
        <f>세금!P22</f>
        <v>387220</v>
      </c>
      <c r="AB22" s="29">
        <f>세금!Q22</f>
        <v>38720</v>
      </c>
      <c r="AC22" s="14">
        <v>0</v>
      </c>
      <c r="AD22" s="28">
        <f t="shared" si="3"/>
        <v>952560</v>
      </c>
      <c r="AE22" s="28">
        <f t="shared" si="4"/>
        <v>5147440</v>
      </c>
    </row>
    <row r="23" spans="1:31" x14ac:dyDescent="0.4">
      <c r="A23" s="23">
        <v>46204</v>
      </c>
      <c r="B23" s="17">
        <v>2</v>
      </c>
      <c r="C23" s="24" t="str">
        <f>직원정보!B6</f>
        <v>S0002</v>
      </c>
      <c r="D23" s="25" t="str">
        <f>직원정보!C6</f>
        <v>나래솔</v>
      </c>
      <c r="E23" s="24" t="str">
        <f>직원정보!D6</f>
        <v>대표이사실</v>
      </c>
      <c r="F23" s="24" t="str">
        <f>직원정보!E6</f>
        <v>이사</v>
      </c>
      <c r="G23" s="14">
        <v>5200000</v>
      </c>
      <c r="H23" s="26">
        <f>ROUND(G23/요율기준!$B$14,0)</f>
        <v>24880</v>
      </c>
      <c r="I23" s="27">
        <v>4</v>
      </c>
      <c r="J23" s="27">
        <v>0</v>
      </c>
      <c r="K23" s="14">
        <v>0</v>
      </c>
      <c r="L23" s="26">
        <f>ROUND(H23*요율기준!$B$15*I23,0)</f>
        <v>149280</v>
      </c>
      <c r="M23" s="26">
        <f>ROUND(H23*요율기준!$B$16*J23,0)</f>
        <v>0</v>
      </c>
      <c r="N23" s="14">
        <v>300000</v>
      </c>
      <c r="O23" s="14">
        <v>100000</v>
      </c>
      <c r="P23" s="14">
        <v>0</v>
      </c>
      <c r="Q23" s="14">
        <v>100000</v>
      </c>
      <c r="R23" s="14">
        <v>200000</v>
      </c>
      <c r="S23" s="14">
        <v>200000</v>
      </c>
      <c r="T23" s="28">
        <f t="shared" si="1"/>
        <v>6249280</v>
      </c>
      <c r="U23" s="26">
        <f>Q23+MIN(R23,요율기준!$B$17)+MIN(S23,요율기준!$B$18)</f>
        <v>500000</v>
      </c>
      <c r="V23" s="28">
        <f t="shared" si="2"/>
        <v>5749280</v>
      </c>
      <c r="W23" s="29">
        <f>'4대보험'!F23</f>
        <v>258710</v>
      </c>
      <c r="X23" s="29">
        <f>'4대보험'!H23</f>
        <v>203810</v>
      </c>
      <c r="Y23" s="29">
        <f>'4대보험'!J23</f>
        <v>26390</v>
      </c>
      <c r="Z23" s="29">
        <f>'4대보험'!L23</f>
        <v>51740</v>
      </c>
      <c r="AA23" s="29">
        <f>세금!P23</f>
        <v>406590</v>
      </c>
      <c r="AB23" s="29">
        <f>세금!Q23</f>
        <v>40650</v>
      </c>
      <c r="AC23" s="14">
        <v>0</v>
      </c>
      <c r="AD23" s="28">
        <f t="shared" si="3"/>
        <v>987890</v>
      </c>
      <c r="AE23" s="28">
        <f t="shared" si="4"/>
        <v>5261390</v>
      </c>
    </row>
    <row r="24" spans="1:31" x14ac:dyDescent="0.4">
      <c r="A24" s="23">
        <v>46235</v>
      </c>
      <c r="B24" s="17">
        <v>2</v>
      </c>
      <c r="C24" s="24" t="str">
        <f>직원정보!B6</f>
        <v>S0002</v>
      </c>
      <c r="D24" s="25" t="str">
        <f>직원정보!C6</f>
        <v>나래솔</v>
      </c>
      <c r="E24" s="24" t="str">
        <f>직원정보!D6</f>
        <v>대표이사실</v>
      </c>
      <c r="F24" s="24" t="str">
        <f>직원정보!E6</f>
        <v>이사</v>
      </c>
      <c r="G24" s="14">
        <v>5200000</v>
      </c>
      <c r="H24" s="26">
        <f>ROUND(G24/요율기준!$B$14,0)</f>
        <v>24880</v>
      </c>
      <c r="I24" s="27">
        <v>0</v>
      </c>
      <c r="J24" s="27">
        <v>0</v>
      </c>
      <c r="K24" s="14">
        <v>0</v>
      </c>
      <c r="L24" s="26">
        <f>ROUND(H24*요율기준!$B$15*I24,0)</f>
        <v>0</v>
      </c>
      <c r="M24" s="26">
        <f>ROUND(H24*요율기준!$B$16*J24,0)</f>
        <v>0</v>
      </c>
      <c r="N24" s="14">
        <v>300000</v>
      </c>
      <c r="O24" s="14">
        <v>100000</v>
      </c>
      <c r="P24" s="14">
        <v>0</v>
      </c>
      <c r="Q24" s="14">
        <v>100000</v>
      </c>
      <c r="R24" s="14">
        <v>200000</v>
      </c>
      <c r="S24" s="14">
        <v>200000</v>
      </c>
      <c r="T24" s="28">
        <f t="shared" si="1"/>
        <v>6100000</v>
      </c>
      <c r="U24" s="26">
        <f>Q24+MIN(R24,요율기준!$B$17)+MIN(S24,요율기준!$B$18)</f>
        <v>500000</v>
      </c>
      <c r="V24" s="28">
        <f t="shared" si="2"/>
        <v>5600000</v>
      </c>
      <c r="W24" s="29">
        <f>'4대보험'!F24</f>
        <v>252000</v>
      </c>
      <c r="X24" s="29">
        <f>'4대보험'!H24</f>
        <v>198520</v>
      </c>
      <c r="Y24" s="29">
        <f>'4대보험'!J24</f>
        <v>25700</v>
      </c>
      <c r="Z24" s="29">
        <f>'4대보험'!L24</f>
        <v>50400</v>
      </c>
      <c r="AA24" s="29">
        <f>세금!P24</f>
        <v>387220</v>
      </c>
      <c r="AB24" s="29">
        <f>세금!Q24</f>
        <v>38720</v>
      </c>
      <c r="AC24" s="14">
        <v>0</v>
      </c>
      <c r="AD24" s="28">
        <f t="shared" si="3"/>
        <v>952560</v>
      </c>
      <c r="AE24" s="28">
        <f t="shared" si="4"/>
        <v>5147440</v>
      </c>
    </row>
    <row r="25" spans="1:31" x14ac:dyDescent="0.4">
      <c r="A25" s="23">
        <v>46266</v>
      </c>
      <c r="B25" s="17">
        <v>2</v>
      </c>
      <c r="C25" s="24" t="str">
        <f>직원정보!B6</f>
        <v>S0002</v>
      </c>
      <c r="D25" s="25" t="str">
        <f>직원정보!C6</f>
        <v>나래솔</v>
      </c>
      <c r="E25" s="24" t="str">
        <f>직원정보!D6</f>
        <v>대표이사실</v>
      </c>
      <c r="F25" s="24" t="str">
        <f>직원정보!E6</f>
        <v>이사</v>
      </c>
      <c r="G25" s="14">
        <v>5200000</v>
      </c>
      <c r="H25" s="26">
        <f>ROUND(G25/요율기준!$B$14,0)</f>
        <v>24880</v>
      </c>
      <c r="I25" s="27">
        <v>4</v>
      </c>
      <c r="J25" s="27">
        <v>0</v>
      </c>
      <c r="K25" s="14">
        <v>0</v>
      </c>
      <c r="L25" s="26">
        <f>ROUND(H25*요율기준!$B$15*I25,0)</f>
        <v>149280</v>
      </c>
      <c r="M25" s="26">
        <f>ROUND(H25*요율기준!$B$16*J25,0)</f>
        <v>0</v>
      </c>
      <c r="N25" s="14">
        <v>300000</v>
      </c>
      <c r="O25" s="14">
        <v>100000</v>
      </c>
      <c r="P25" s="14">
        <v>0</v>
      </c>
      <c r="Q25" s="14">
        <v>100000</v>
      </c>
      <c r="R25" s="14">
        <v>200000</v>
      </c>
      <c r="S25" s="14">
        <v>200000</v>
      </c>
      <c r="T25" s="28">
        <f t="shared" si="1"/>
        <v>6249280</v>
      </c>
      <c r="U25" s="26">
        <f>Q25+MIN(R25,요율기준!$B$17)+MIN(S25,요율기준!$B$18)</f>
        <v>500000</v>
      </c>
      <c r="V25" s="28">
        <f t="shared" si="2"/>
        <v>5749280</v>
      </c>
      <c r="W25" s="29">
        <f>'4대보험'!F25</f>
        <v>258710</v>
      </c>
      <c r="X25" s="29">
        <f>'4대보험'!H25</f>
        <v>203810</v>
      </c>
      <c r="Y25" s="29">
        <f>'4대보험'!J25</f>
        <v>26390</v>
      </c>
      <c r="Z25" s="29">
        <f>'4대보험'!L25</f>
        <v>51740</v>
      </c>
      <c r="AA25" s="29">
        <f>세금!P25</f>
        <v>406590</v>
      </c>
      <c r="AB25" s="29">
        <f>세금!Q25</f>
        <v>40650</v>
      </c>
      <c r="AC25" s="14">
        <v>0</v>
      </c>
      <c r="AD25" s="28">
        <f t="shared" si="3"/>
        <v>987890</v>
      </c>
      <c r="AE25" s="28">
        <f t="shared" si="4"/>
        <v>5261390</v>
      </c>
    </row>
    <row r="26" spans="1:31" x14ac:dyDescent="0.4">
      <c r="A26" s="23">
        <v>46296</v>
      </c>
      <c r="B26" s="17">
        <v>2</v>
      </c>
      <c r="C26" s="24" t="str">
        <f>직원정보!B6</f>
        <v>S0002</v>
      </c>
      <c r="D26" s="25" t="str">
        <f>직원정보!C6</f>
        <v>나래솔</v>
      </c>
      <c r="E26" s="24" t="str">
        <f>직원정보!D6</f>
        <v>대표이사실</v>
      </c>
      <c r="F26" s="24" t="str">
        <f>직원정보!E6</f>
        <v>이사</v>
      </c>
      <c r="G26" s="14">
        <v>5200000</v>
      </c>
      <c r="H26" s="26">
        <f>ROUND(G26/요율기준!$B$14,0)</f>
        <v>24880</v>
      </c>
      <c r="I26" s="27">
        <v>0</v>
      </c>
      <c r="J26" s="27">
        <v>0</v>
      </c>
      <c r="K26" s="14">
        <v>0</v>
      </c>
      <c r="L26" s="26">
        <f>ROUND(H26*요율기준!$B$15*I26,0)</f>
        <v>0</v>
      </c>
      <c r="M26" s="26">
        <f>ROUND(H26*요율기준!$B$16*J26,0)</f>
        <v>0</v>
      </c>
      <c r="N26" s="14">
        <v>300000</v>
      </c>
      <c r="O26" s="14">
        <v>100000</v>
      </c>
      <c r="P26" s="14">
        <v>0</v>
      </c>
      <c r="Q26" s="14">
        <v>100000</v>
      </c>
      <c r="R26" s="14">
        <v>200000</v>
      </c>
      <c r="S26" s="14">
        <v>200000</v>
      </c>
      <c r="T26" s="28">
        <f t="shared" si="1"/>
        <v>6100000</v>
      </c>
      <c r="U26" s="26">
        <f>Q26+MIN(R26,요율기준!$B$17)+MIN(S26,요율기준!$B$18)</f>
        <v>500000</v>
      </c>
      <c r="V26" s="28">
        <f t="shared" si="2"/>
        <v>5600000</v>
      </c>
      <c r="W26" s="29">
        <f>'4대보험'!F26</f>
        <v>252000</v>
      </c>
      <c r="X26" s="29">
        <f>'4대보험'!H26</f>
        <v>198520</v>
      </c>
      <c r="Y26" s="29">
        <f>'4대보험'!J26</f>
        <v>25700</v>
      </c>
      <c r="Z26" s="29">
        <f>'4대보험'!L26</f>
        <v>50400</v>
      </c>
      <c r="AA26" s="29">
        <f>세금!P26</f>
        <v>387220</v>
      </c>
      <c r="AB26" s="29">
        <f>세금!Q26</f>
        <v>38720</v>
      </c>
      <c r="AC26" s="14">
        <v>0</v>
      </c>
      <c r="AD26" s="28">
        <f t="shared" si="3"/>
        <v>952560</v>
      </c>
      <c r="AE26" s="28">
        <f t="shared" si="4"/>
        <v>5147440</v>
      </c>
    </row>
    <row r="27" spans="1:31" x14ac:dyDescent="0.4">
      <c r="A27" s="23">
        <v>46327</v>
      </c>
      <c r="B27" s="17">
        <v>2</v>
      </c>
      <c r="C27" s="24" t="str">
        <f>직원정보!B6</f>
        <v>S0002</v>
      </c>
      <c r="D27" s="25" t="str">
        <f>직원정보!C6</f>
        <v>나래솔</v>
      </c>
      <c r="E27" s="24" t="str">
        <f>직원정보!D6</f>
        <v>대표이사실</v>
      </c>
      <c r="F27" s="24" t="str">
        <f>직원정보!E6</f>
        <v>이사</v>
      </c>
      <c r="G27" s="14">
        <v>5200000</v>
      </c>
      <c r="H27" s="26">
        <f>ROUND(G27/요율기준!$B$14,0)</f>
        <v>24880</v>
      </c>
      <c r="I27" s="27">
        <v>4</v>
      </c>
      <c r="J27" s="27">
        <v>0</v>
      </c>
      <c r="K27" s="14">
        <v>0</v>
      </c>
      <c r="L27" s="26">
        <f>ROUND(H27*요율기준!$B$15*I27,0)</f>
        <v>149280</v>
      </c>
      <c r="M27" s="26">
        <f>ROUND(H27*요율기준!$B$16*J27,0)</f>
        <v>0</v>
      </c>
      <c r="N27" s="14">
        <v>300000</v>
      </c>
      <c r="O27" s="14">
        <v>100000</v>
      </c>
      <c r="P27" s="14">
        <v>0</v>
      </c>
      <c r="Q27" s="14">
        <v>100000</v>
      </c>
      <c r="R27" s="14">
        <v>200000</v>
      </c>
      <c r="S27" s="14">
        <v>200000</v>
      </c>
      <c r="T27" s="28">
        <f t="shared" si="1"/>
        <v>6249280</v>
      </c>
      <c r="U27" s="26">
        <f>Q27+MIN(R27,요율기준!$B$17)+MIN(S27,요율기준!$B$18)</f>
        <v>500000</v>
      </c>
      <c r="V27" s="28">
        <f t="shared" si="2"/>
        <v>5749280</v>
      </c>
      <c r="W27" s="29">
        <f>'4대보험'!F27</f>
        <v>258710</v>
      </c>
      <c r="X27" s="29">
        <f>'4대보험'!H27</f>
        <v>203810</v>
      </c>
      <c r="Y27" s="29">
        <f>'4대보험'!J27</f>
        <v>26390</v>
      </c>
      <c r="Z27" s="29">
        <f>'4대보험'!L27</f>
        <v>51740</v>
      </c>
      <c r="AA27" s="29">
        <f>세금!P27</f>
        <v>406590</v>
      </c>
      <c r="AB27" s="29">
        <f>세금!Q27</f>
        <v>40650</v>
      </c>
      <c r="AC27" s="14">
        <v>0</v>
      </c>
      <c r="AD27" s="28">
        <f t="shared" si="3"/>
        <v>987890</v>
      </c>
      <c r="AE27" s="28">
        <f t="shared" si="4"/>
        <v>5261390</v>
      </c>
    </row>
    <row r="28" spans="1:31" x14ac:dyDescent="0.4">
      <c r="A28" s="23">
        <v>46357</v>
      </c>
      <c r="B28" s="17">
        <v>2</v>
      </c>
      <c r="C28" s="24" t="str">
        <f>직원정보!B6</f>
        <v>S0002</v>
      </c>
      <c r="D28" s="25" t="str">
        <f>직원정보!C6</f>
        <v>나래솔</v>
      </c>
      <c r="E28" s="24" t="str">
        <f>직원정보!D6</f>
        <v>대표이사실</v>
      </c>
      <c r="F28" s="24" t="str">
        <f>직원정보!E6</f>
        <v>이사</v>
      </c>
      <c r="G28" s="14">
        <v>5200000</v>
      </c>
      <c r="H28" s="26">
        <f>ROUND(G28/요율기준!$B$14,0)</f>
        <v>24880</v>
      </c>
      <c r="I28" s="27">
        <v>0</v>
      </c>
      <c r="J28" s="27">
        <v>0</v>
      </c>
      <c r="K28" s="14">
        <v>0</v>
      </c>
      <c r="L28" s="26">
        <f>ROUND(H28*요율기준!$B$15*I28,0)</f>
        <v>0</v>
      </c>
      <c r="M28" s="26">
        <f>ROUND(H28*요율기준!$B$16*J28,0)</f>
        <v>0</v>
      </c>
      <c r="N28" s="14">
        <v>300000</v>
      </c>
      <c r="O28" s="14">
        <v>100000</v>
      </c>
      <c r="P28" s="14">
        <v>0</v>
      </c>
      <c r="Q28" s="14">
        <v>100000</v>
      </c>
      <c r="R28" s="14">
        <v>200000</v>
      </c>
      <c r="S28" s="14">
        <v>200000</v>
      </c>
      <c r="T28" s="28">
        <f t="shared" si="1"/>
        <v>6100000</v>
      </c>
      <c r="U28" s="26">
        <f>Q28+MIN(R28,요율기준!$B$17)+MIN(S28,요율기준!$B$18)</f>
        <v>500000</v>
      </c>
      <c r="V28" s="28">
        <f t="shared" si="2"/>
        <v>5600000</v>
      </c>
      <c r="W28" s="29">
        <f>'4대보험'!F28</f>
        <v>252000</v>
      </c>
      <c r="X28" s="29">
        <f>'4대보험'!H28</f>
        <v>198520</v>
      </c>
      <c r="Y28" s="29">
        <f>'4대보험'!J28</f>
        <v>25700</v>
      </c>
      <c r="Z28" s="29">
        <f>'4대보험'!L28</f>
        <v>50400</v>
      </c>
      <c r="AA28" s="29">
        <f>세금!P28</f>
        <v>387220</v>
      </c>
      <c r="AB28" s="29">
        <f>세금!Q28</f>
        <v>38720</v>
      </c>
      <c r="AC28" s="14">
        <v>0</v>
      </c>
      <c r="AD28" s="28">
        <f t="shared" si="3"/>
        <v>952560</v>
      </c>
      <c r="AE28" s="28">
        <f t="shared" si="4"/>
        <v>5147440</v>
      </c>
    </row>
    <row r="29" spans="1:31" x14ac:dyDescent="0.4">
      <c r="A29" s="23">
        <v>46023</v>
      </c>
      <c r="B29" s="17">
        <v>3</v>
      </c>
      <c r="C29" s="24" t="str">
        <f>직원정보!B7</f>
        <v>S0003</v>
      </c>
      <c r="D29" s="25" t="str">
        <f>직원정보!C7</f>
        <v>다올찬</v>
      </c>
      <c r="E29" s="24" t="str">
        <f>직원정보!D7</f>
        <v>경영지원팀</v>
      </c>
      <c r="F29" s="24" t="str">
        <f>직원정보!E7</f>
        <v>이사</v>
      </c>
      <c r="G29" s="14">
        <v>5200000</v>
      </c>
      <c r="H29" s="26">
        <f>ROUND(G29/요율기준!$B$14,0)</f>
        <v>24880</v>
      </c>
      <c r="I29" s="27">
        <v>0</v>
      </c>
      <c r="J29" s="27">
        <v>0</v>
      </c>
      <c r="K29" s="14">
        <v>0</v>
      </c>
      <c r="L29" s="26">
        <f>ROUND(H29*요율기준!$B$15*I29,0)</f>
        <v>0</v>
      </c>
      <c r="M29" s="26">
        <f>ROUND(H29*요율기준!$B$16*J29,0)</f>
        <v>0</v>
      </c>
      <c r="N29" s="14">
        <v>300000</v>
      </c>
      <c r="O29" s="14">
        <v>100000</v>
      </c>
      <c r="P29" s="14">
        <v>100000</v>
      </c>
      <c r="Q29" s="14">
        <v>100000</v>
      </c>
      <c r="R29" s="14">
        <v>200000</v>
      </c>
      <c r="S29" s="14">
        <v>200000</v>
      </c>
      <c r="T29" s="28">
        <f t="shared" si="1"/>
        <v>6200000</v>
      </c>
      <c r="U29" s="26">
        <f>Q29+MIN(R29,요율기준!$B$17)+MIN(S29,요율기준!$B$18)</f>
        <v>500000</v>
      </c>
      <c r="V29" s="28">
        <f t="shared" si="2"/>
        <v>5700000</v>
      </c>
      <c r="W29" s="29">
        <f>'4대보험'!F29</f>
        <v>256500</v>
      </c>
      <c r="X29" s="29">
        <f>'4대보험'!H29</f>
        <v>202060</v>
      </c>
      <c r="Y29" s="29">
        <f>'4대보험'!J29</f>
        <v>26160</v>
      </c>
      <c r="Z29" s="29">
        <f>'4대보험'!L29</f>
        <v>51300</v>
      </c>
      <c r="AA29" s="29">
        <f>세금!P29</f>
        <v>400200</v>
      </c>
      <c r="AB29" s="29">
        <f>세금!Q29</f>
        <v>40020</v>
      </c>
      <c r="AC29" s="14">
        <v>0</v>
      </c>
      <c r="AD29" s="28">
        <f t="shared" si="3"/>
        <v>976240</v>
      </c>
      <c r="AE29" s="28">
        <f t="shared" si="4"/>
        <v>5223760</v>
      </c>
    </row>
    <row r="30" spans="1:31" x14ac:dyDescent="0.4">
      <c r="A30" s="23">
        <v>46054</v>
      </c>
      <c r="B30" s="17">
        <v>3</v>
      </c>
      <c r="C30" s="24" t="str">
        <f>직원정보!B7</f>
        <v>S0003</v>
      </c>
      <c r="D30" s="25" t="str">
        <f>직원정보!C7</f>
        <v>다올찬</v>
      </c>
      <c r="E30" s="24" t="str">
        <f>직원정보!D7</f>
        <v>경영지원팀</v>
      </c>
      <c r="F30" s="24" t="str">
        <f>직원정보!E7</f>
        <v>이사</v>
      </c>
      <c r="G30" s="14">
        <v>5200000</v>
      </c>
      <c r="H30" s="26">
        <f>ROUND(G30/요율기준!$B$14,0)</f>
        <v>24880</v>
      </c>
      <c r="I30" s="27">
        <v>4</v>
      </c>
      <c r="J30" s="27">
        <v>0</v>
      </c>
      <c r="K30" s="14">
        <v>0</v>
      </c>
      <c r="L30" s="26">
        <f>ROUND(H30*요율기준!$B$15*I30,0)</f>
        <v>149280</v>
      </c>
      <c r="M30" s="26">
        <f>ROUND(H30*요율기준!$B$16*J30,0)</f>
        <v>0</v>
      </c>
      <c r="N30" s="14">
        <v>300000</v>
      </c>
      <c r="O30" s="14">
        <v>100000</v>
      </c>
      <c r="P30" s="14">
        <v>100000</v>
      </c>
      <c r="Q30" s="14">
        <v>100000</v>
      </c>
      <c r="R30" s="14">
        <v>200000</v>
      </c>
      <c r="S30" s="14">
        <v>200000</v>
      </c>
      <c r="T30" s="28">
        <f t="shared" si="1"/>
        <v>6349280</v>
      </c>
      <c r="U30" s="26">
        <f>Q30+MIN(R30,요율기준!$B$17)+MIN(S30,요율기준!$B$18)</f>
        <v>500000</v>
      </c>
      <c r="V30" s="28">
        <f t="shared" si="2"/>
        <v>5849280</v>
      </c>
      <c r="W30" s="29">
        <f>'4대보험'!F30</f>
        <v>263210</v>
      </c>
      <c r="X30" s="29">
        <f>'4대보험'!H30</f>
        <v>207350</v>
      </c>
      <c r="Y30" s="29">
        <f>'4대보험'!J30</f>
        <v>26850</v>
      </c>
      <c r="Z30" s="29">
        <f>'4대보험'!L30</f>
        <v>52640</v>
      </c>
      <c r="AA30" s="29">
        <f>세금!P30</f>
        <v>427540</v>
      </c>
      <c r="AB30" s="29">
        <f>세금!Q30</f>
        <v>42750</v>
      </c>
      <c r="AC30" s="14">
        <v>0</v>
      </c>
      <c r="AD30" s="28">
        <f t="shared" si="3"/>
        <v>1020340</v>
      </c>
      <c r="AE30" s="28">
        <f t="shared" si="4"/>
        <v>5328940</v>
      </c>
    </row>
    <row r="31" spans="1:31" x14ac:dyDescent="0.4">
      <c r="A31" s="23">
        <v>46082</v>
      </c>
      <c r="B31" s="17">
        <v>3</v>
      </c>
      <c r="C31" s="24" t="str">
        <f>직원정보!B7</f>
        <v>S0003</v>
      </c>
      <c r="D31" s="25" t="str">
        <f>직원정보!C7</f>
        <v>다올찬</v>
      </c>
      <c r="E31" s="24" t="str">
        <f>직원정보!D7</f>
        <v>경영지원팀</v>
      </c>
      <c r="F31" s="24" t="str">
        <f>직원정보!E7</f>
        <v>이사</v>
      </c>
      <c r="G31" s="14">
        <v>5200000</v>
      </c>
      <c r="H31" s="26">
        <f>ROUND(G31/요율기준!$B$14,0)</f>
        <v>24880</v>
      </c>
      <c r="I31" s="27">
        <v>0</v>
      </c>
      <c r="J31" s="27">
        <v>0</v>
      </c>
      <c r="K31" s="14">
        <v>0</v>
      </c>
      <c r="L31" s="26">
        <f>ROUND(H31*요율기준!$B$15*I31,0)</f>
        <v>0</v>
      </c>
      <c r="M31" s="26">
        <f>ROUND(H31*요율기준!$B$16*J31,0)</f>
        <v>0</v>
      </c>
      <c r="N31" s="14">
        <v>300000</v>
      </c>
      <c r="O31" s="14">
        <v>100000</v>
      </c>
      <c r="P31" s="14">
        <v>100000</v>
      </c>
      <c r="Q31" s="14">
        <v>100000</v>
      </c>
      <c r="R31" s="14">
        <v>200000</v>
      </c>
      <c r="S31" s="14">
        <v>200000</v>
      </c>
      <c r="T31" s="28">
        <f t="shared" si="1"/>
        <v>6200000</v>
      </c>
      <c r="U31" s="26">
        <f>Q31+MIN(R31,요율기준!$B$17)+MIN(S31,요율기준!$B$18)</f>
        <v>500000</v>
      </c>
      <c r="V31" s="28">
        <f t="shared" si="2"/>
        <v>5700000</v>
      </c>
      <c r="W31" s="29">
        <f>'4대보험'!F31</f>
        <v>256500</v>
      </c>
      <c r="X31" s="29">
        <f>'4대보험'!H31</f>
        <v>202060</v>
      </c>
      <c r="Y31" s="29">
        <f>'4대보험'!J31</f>
        <v>26160</v>
      </c>
      <c r="Z31" s="29">
        <f>'4대보험'!L31</f>
        <v>51300</v>
      </c>
      <c r="AA31" s="29">
        <f>세금!P31</f>
        <v>400200</v>
      </c>
      <c r="AB31" s="29">
        <f>세금!Q31</f>
        <v>40020</v>
      </c>
      <c r="AC31" s="14">
        <v>0</v>
      </c>
      <c r="AD31" s="28">
        <f t="shared" si="3"/>
        <v>976240</v>
      </c>
      <c r="AE31" s="28">
        <f t="shared" si="4"/>
        <v>5223760</v>
      </c>
    </row>
    <row r="32" spans="1:31" x14ac:dyDescent="0.4">
      <c r="A32" s="23">
        <v>46113</v>
      </c>
      <c r="B32" s="17">
        <v>3</v>
      </c>
      <c r="C32" s="24" t="str">
        <f>직원정보!B7</f>
        <v>S0003</v>
      </c>
      <c r="D32" s="25" t="str">
        <f>직원정보!C7</f>
        <v>다올찬</v>
      </c>
      <c r="E32" s="24" t="str">
        <f>직원정보!D7</f>
        <v>경영지원팀</v>
      </c>
      <c r="F32" s="24" t="str">
        <f>직원정보!E7</f>
        <v>이사</v>
      </c>
      <c r="G32" s="14">
        <v>5200000</v>
      </c>
      <c r="H32" s="26">
        <f>ROUND(G32/요율기준!$B$14,0)</f>
        <v>24880</v>
      </c>
      <c r="I32" s="27">
        <v>4</v>
      </c>
      <c r="J32" s="27">
        <v>0</v>
      </c>
      <c r="K32" s="14">
        <v>0</v>
      </c>
      <c r="L32" s="26">
        <f>ROUND(H32*요율기준!$B$15*I32,0)</f>
        <v>149280</v>
      </c>
      <c r="M32" s="26">
        <f>ROUND(H32*요율기준!$B$16*J32,0)</f>
        <v>0</v>
      </c>
      <c r="N32" s="14">
        <v>300000</v>
      </c>
      <c r="O32" s="14">
        <v>100000</v>
      </c>
      <c r="P32" s="14">
        <v>100000</v>
      </c>
      <c r="Q32" s="14">
        <v>100000</v>
      </c>
      <c r="R32" s="14">
        <v>200000</v>
      </c>
      <c r="S32" s="14">
        <v>200000</v>
      </c>
      <c r="T32" s="28">
        <f t="shared" si="1"/>
        <v>6349280</v>
      </c>
      <c r="U32" s="26">
        <f>Q32+MIN(R32,요율기준!$B$17)+MIN(S32,요율기준!$B$18)</f>
        <v>500000</v>
      </c>
      <c r="V32" s="28">
        <f t="shared" si="2"/>
        <v>5849280</v>
      </c>
      <c r="W32" s="29">
        <f>'4대보험'!F32</f>
        <v>263210</v>
      </c>
      <c r="X32" s="29">
        <f>'4대보험'!H32</f>
        <v>207350</v>
      </c>
      <c r="Y32" s="29">
        <f>'4대보험'!J32</f>
        <v>26850</v>
      </c>
      <c r="Z32" s="29">
        <f>'4대보험'!L32</f>
        <v>52640</v>
      </c>
      <c r="AA32" s="29">
        <f>세금!P32</f>
        <v>427540</v>
      </c>
      <c r="AB32" s="29">
        <f>세금!Q32</f>
        <v>42750</v>
      </c>
      <c r="AC32" s="14">
        <v>0</v>
      </c>
      <c r="AD32" s="28">
        <f t="shared" si="3"/>
        <v>1020340</v>
      </c>
      <c r="AE32" s="28">
        <f t="shared" si="4"/>
        <v>5328940</v>
      </c>
    </row>
    <row r="33" spans="1:31" x14ac:dyDescent="0.4">
      <c r="A33" s="23">
        <v>46143</v>
      </c>
      <c r="B33" s="17">
        <v>3</v>
      </c>
      <c r="C33" s="24" t="str">
        <f>직원정보!B7</f>
        <v>S0003</v>
      </c>
      <c r="D33" s="25" t="str">
        <f>직원정보!C7</f>
        <v>다올찬</v>
      </c>
      <c r="E33" s="24" t="str">
        <f>직원정보!D7</f>
        <v>경영지원팀</v>
      </c>
      <c r="F33" s="24" t="str">
        <f>직원정보!E7</f>
        <v>이사</v>
      </c>
      <c r="G33" s="14">
        <v>5200000</v>
      </c>
      <c r="H33" s="26">
        <f>ROUND(G33/요율기준!$B$14,0)</f>
        <v>24880</v>
      </c>
      <c r="I33" s="27">
        <v>0</v>
      </c>
      <c r="J33" s="27">
        <v>0</v>
      </c>
      <c r="K33" s="14">
        <v>0</v>
      </c>
      <c r="L33" s="26">
        <f>ROUND(H33*요율기준!$B$15*I33,0)</f>
        <v>0</v>
      </c>
      <c r="M33" s="26">
        <f>ROUND(H33*요율기준!$B$16*J33,0)</f>
        <v>0</v>
      </c>
      <c r="N33" s="14">
        <v>300000</v>
      </c>
      <c r="O33" s="14">
        <v>100000</v>
      </c>
      <c r="P33" s="14">
        <v>100000</v>
      </c>
      <c r="Q33" s="14">
        <v>100000</v>
      </c>
      <c r="R33" s="14">
        <v>200000</v>
      </c>
      <c r="S33" s="14">
        <v>200000</v>
      </c>
      <c r="T33" s="28">
        <f t="shared" si="1"/>
        <v>6200000</v>
      </c>
      <c r="U33" s="26">
        <f>Q33+MIN(R33,요율기준!$B$17)+MIN(S33,요율기준!$B$18)</f>
        <v>500000</v>
      </c>
      <c r="V33" s="28">
        <f t="shared" si="2"/>
        <v>5700000</v>
      </c>
      <c r="W33" s="29">
        <f>'4대보험'!F33</f>
        <v>256500</v>
      </c>
      <c r="X33" s="29">
        <f>'4대보험'!H33</f>
        <v>202060</v>
      </c>
      <c r="Y33" s="29">
        <f>'4대보험'!J33</f>
        <v>26160</v>
      </c>
      <c r="Z33" s="29">
        <f>'4대보험'!L33</f>
        <v>51300</v>
      </c>
      <c r="AA33" s="29">
        <f>세금!P33</f>
        <v>400200</v>
      </c>
      <c r="AB33" s="29">
        <f>세금!Q33</f>
        <v>40020</v>
      </c>
      <c r="AC33" s="14">
        <v>0</v>
      </c>
      <c r="AD33" s="28">
        <f t="shared" si="3"/>
        <v>976240</v>
      </c>
      <c r="AE33" s="28">
        <f t="shared" si="4"/>
        <v>5223760</v>
      </c>
    </row>
    <row r="34" spans="1:31" x14ac:dyDescent="0.4">
      <c r="A34" s="23">
        <v>46174</v>
      </c>
      <c r="B34" s="17">
        <v>3</v>
      </c>
      <c r="C34" s="24" t="str">
        <f>직원정보!B7</f>
        <v>S0003</v>
      </c>
      <c r="D34" s="25" t="str">
        <f>직원정보!C7</f>
        <v>다올찬</v>
      </c>
      <c r="E34" s="24" t="str">
        <f>직원정보!D7</f>
        <v>경영지원팀</v>
      </c>
      <c r="F34" s="24" t="str">
        <f>직원정보!E7</f>
        <v>이사</v>
      </c>
      <c r="G34" s="14">
        <v>5200000</v>
      </c>
      <c r="H34" s="26">
        <f>ROUND(G34/요율기준!$B$14,0)</f>
        <v>24880</v>
      </c>
      <c r="I34" s="27">
        <v>4</v>
      </c>
      <c r="J34" s="27">
        <v>0</v>
      </c>
      <c r="K34" s="14">
        <v>0</v>
      </c>
      <c r="L34" s="26">
        <f>ROUND(H34*요율기준!$B$15*I34,0)</f>
        <v>149280</v>
      </c>
      <c r="M34" s="26">
        <f>ROUND(H34*요율기준!$B$16*J34,0)</f>
        <v>0</v>
      </c>
      <c r="N34" s="14">
        <v>300000</v>
      </c>
      <c r="O34" s="14">
        <v>100000</v>
      </c>
      <c r="P34" s="14">
        <v>100000</v>
      </c>
      <c r="Q34" s="14">
        <v>100000</v>
      </c>
      <c r="R34" s="14">
        <v>200000</v>
      </c>
      <c r="S34" s="14">
        <v>200000</v>
      </c>
      <c r="T34" s="28">
        <f t="shared" si="1"/>
        <v>6349280</v>
      </c>
      <c r="U34" s="26">
        <f>Q34+MIN(R34,요율기준!$B$17)+MIN(S34,요율기준!$B$18)</f>
        <v>500000</v>
      </c>
      <c r="V34" s="28">
        <f t="shared" si="2"/>
        <v>5849280</v>
      </c>
      <c r="W34" s="29">
        <f>'4대보험'!F34</f>
        <v>263210</v>
      </c>
      <c r="X34" s="29">
        <f>'4대보험'!H34</f>
        <v>207350</v>
      </c>
      <c r="Y34" s="29">
        <f>'4대보험'!J34</f>
        <v>26850</v>
      </c>
      <c r="Z34" s="29">
        <f>'4대보험'!L34</f>
        <v>52640</v>
      </c>
      <c r="AA34" s="29">
        <f>세금!P34</f>
        <v>427540</v>
      </c>
      <c r="AB34" s="29">
        <f>세금!Q34</f>
        <v>42750</v>
      </c>
      <c r="AC34" s="14">
        <v>0</v>
      </c>
      <c r="AD34" s="28">
        <f t="shared" si="3"/>
        <v>1020340</v>
      </c>
      <c r="AE34" s="28">
        <f t="shared" si="4"/>
        <v>5328940</v>
      </c>
    </row>
    <row r="35" spans="1:31" x14ac:dyDescent="0.4">
      <c r="A35" s="23">
        <v>46204</v>
      </c>
      <c r="B35" s="17">
        <v>3</v>
      </c>
      <c r="C35" s="24" t="str">
        <f>직원정보!B7</f>
        <v>S0003</v>
      </c>
      <c r="D35" s="25" t="str">
        <f>직원정보!C7</f>
        <v>다올찬</v>
      </c>
      <c r="E35" s="24" t="str">
        <f>직원정보!D7</f>
        <v>경영지원팀</v>
      </c>
      <c r="F35" s="24" t="str">
        <f>직원정보!E7</f>
        <v>이사</v>
      </c>
      <c r="G35" s="14">
        <v>5200000</v>
      </c>
      <c r="H35" s="26">
        <f>ROUND(G35/요율기준!$B$14,0)</f>
        <v>24880</v>
      </c>
      <c r="I35" s="27">
        <v>0</v>
      </c>
      <c r="J35" s="27">
        <v>0</v>
      </c>
      <c r="K35" s="14">
        <v>0</v>
      </c>
      <c r="L35" s="26">
        <f>ROUND(H35*요율기준!$B$15*I35,0)</f>
        <v>0</v>
      </c>
      <c r="M35" s="26">
        <f>ROUND(H35*요율기준!$B$16*J35,0)</f>
        <v>0</v>
      </c>
      <c r="N35" s="14">
        <v>300000</v>
      </c>
      <c r="O35" s="14">
        <v>100000</v>
      </c>
      <c r="P35" s="14">
        <v>100000</v>
      </c>
      <c r="Q35" s="14">
        <v>100000</v>
      </c>
      <c r="R35" s="14">
        <v>200000</v>
      </c>
      <c r="S35" s="14">
        <v>200000</v>
      </c>
      <c r="T35" s="28">
        <f t="shared" si="1"/>
        <v>6200000</v>
      </c>
      <c r="U35" s="26">
        <f>Q35+MIN(R35,요율기준!$B$17)+MIN(S35,요율기준!$B$18)</f>
        <v>500000</v>
      </c>
      <c r="V35" s="28">
        <f t="shared" si="2"/>
        <v>5700000</v>
      </c>
      <c r="W35" s="29">
        <f>'4대보험'!F35</f>
        <v>256500</v>
      </c>
      <c r="X35" s="29">
        <f>'4대보험'!H35</f>
        <v>202060</v>
      </c>
      <c r="Y35" s="29">
        <f>'4대보험'!J35</f>
        <v>26160</v>
      </c>
      <c r="Z35" s="29">
        <f>'4대보험'!L35</f>
        <v>51300</v>
      </c>
      <c r="AA35" s="29">
        <f>세금!P35</f>
        <v>400200</v>
      </c>
      <c r="AB35" s="29">
        <f>세금!Q35</f>
        <v>40020</v>
      </c>
      <c r="AC35" s="14">
        <v>0</v>
      </c>
      <c r="AD35" s="28">
        <f t="shared" si="3"/>
        <v>976240</v>
      </c>
      <c r="AE35" s="28">
        <f t="shared" si="4"/>
        <v>5223760</v>
      </c>
    </row>
    <row r="36" spans="1:31" x14ac:dyDescent="0.4">
      <c r="A36" s="23">
        <v>46235</v>
      </c>
      <c r="B36" s="17">
        <v>3</v>
      </c>
      <c r="C36" s="24" t="str">
        <f>직원정보!B7</f>
        <v>S0003</v>
      </c>
      <c r="D36" s="25" t="str">
        <f>직원정보!C7</f>
        <v>다올찬</v>
      </c>
      <c r="E36" s="24" t="str">
        <f>직원정보!D7</f>
        <v>경영지원팀</v>
      </c>
      <c r="F36" s="24" t="str">
        <f>직원정보!E7</f>
        <v>이사</v>
      </c>
      <c r="G36" s="14">
        <v>5200000</v>
      </c>
      <c r="H36" s="26">
        <f>ROUND(G36/요율기준!$B$14,0)</f>
        <v>24880</v>
      </c>
      <c r="I36" s="27">
        <v>4</v>
      </c>
      <c r="J36" s="27">
        <v>0</v>
      </c>
      <c r="K36" s="14">
        <v>0</v>
      </c>
      <c r="L36" s="26">
        <f>ROUND(H36*요율기준!$B$15*I36,0)</f>
        <v>149280</v>
      </c>
      <c r="M36" s="26">
        <f>ROUND(H36*요율기준!$B$16*J36,0)</f>
        <v>0</v>
      </c>
      <c r="N36" s="14">
        <v>300000</v>
      </c>
      <c r="O36" s="14">
        <v>100000</v>
      </c>
      <c r="P36" s="14">
        <v>100000</v>
      </c>
      <c r="Q36" s="14">
        <v>100000</v>
      </c>
      <c r="R36" s="14">
        <v>200000</v>
      </c>
      <c r="S36" s="14">
        <v>200000</v>
      </c>
      <c r="T36" s="28">
        <f t="shared" si="1"/>
        <v>6349280</v>
      </c>
      <c r="U36" s="26">
        <f>Q36+MIN(R36,요율기준!$B$17)+MIN(S36,요율기준!$B$18)</f>
        <v>500000</v>
      </c>
      <c r="V36" s="28">
        <f t="shared" si="2"/>
        <v>5849280</v>
      </c>
      <c r="W36" s="29">
        <f>'4대보험'!F36</f>
        <v>263210</v>
      </c>
      <c r="X36" s="29">
        <f>'4대보험'!H36</f>
        <v>207350</v>
      </c>
      <c r="Y36" s="29">
        <f>'4대보험'!J36</f>
        <v>26850</v>
      </c>
      <c r="Z36" s="29">
        <f>'4대보험'!L36</f>
        <v>52640</v>
      </c>
      <c r="AA36" s="29">
        <f>세금!P36</f>
        <v>427540</v>
      </c>
      <c r="AB36" s="29">
        <f>세금!Q36</f>
        <v>42750</v>
      </c>
      <c r="AC36" s="14">
        <v>0</v>
      </c>
      <c r="AD36" s="28">
        <f t="shared" si="3"/>
        <v>1020340</v>
      </c>
      <c r="AE36" s="28">
        <f t="shared" si="4"/>
        <v>5328940</v>
      </c>
    </row>
    <row r="37" spans="1:31" x14ac:dyDescent="0.4">
      <c r="A37" s="23">
        <v>46266</v>
      </c>
      <c r="B37" s="17">
        <v>3</v>
      </c>
      <c r="C37" s="24" t="str">
        <f>직원정보!B7</f>
        <v>S0003</v>
      </c>
      <c r="D37" s="25" t="str">
        <f>직원정보!C7</f>
        <v>다올찬</v>
      </c>
      <c r="E37" s="24" t="str">
        <f>직원정보!D7</f>
        <v>경영지원팀</v>
      </c>
      <c r="F37" s="24" t="str">
        <f>직원정보!E7</f>
        <v>이사</v>
      </c>
      <c r="G37" s="14">
        <v>5200000</v>
      </c>
      <c r="H37" s="26">
        <f>ROUND(G37/요율기준!$B$14,0)</f>
        <v>24880</v>
      </c>
      <c r="I37" s="27">
        <v>0</v>
      </c>
      <c r="J37" s="27">
        <v>0</v>
      </c>
      <c r="K37" s="14">
        <v>0</v>
      </c>
      <c r="L37" s="26">
        <f>ROUND(H37*요율기준!$B$15*I37,0)</f>
        <v>0</v>
      </c>
      <c r="M37" s="26">
        <f>ROUND(H37*요율기준!$B$16*J37,0)</f>
        <v>0</v>
      </c>
      <c r="N37" s="14">
        <v>300000</v>
      </c>
      <c r="O37" s="14">
        <v>100000</v>
      </c>
      <c r="P37" s="14">
        <v>100000</v>
      </c>
      <c r="Q37" s="14">
        <v>100000</v>
      </c>
      <c r="R37" s="14">
        <v>200000</v>
      </c>
      <c r="S37" s="14">
        <v>200000</v>
      </c>
      <c r="T37" s="28">
        <f t="shared" si="1"/>
        <v>6200000</v>
      </c>
      <c r="U37" s="26">
        <f>Q37+MIN(R37,요율기준!$B$17)+MIN(S37,요율기준!$B$18)</f>
        <v>500000</v>
      </c>
      <c r="V37" s="28">
        <f t="shared" si="2"/>
        <v>5700000</v>
      </c>
      <c r="W37" s="29">
        <f>'4대보험'!F37</f>
        <v>256500</v>
      </c>
      <c r="X37" s="29">
        <f>'4대보험'!H37</f>
        <v>202060</v>
      </c>
      <c r="Y37" s="29">
        <f>'4대보험'!J37</f>
        <v>26160</v>
      </c>
      <c r="Z37" s="29">
        <f>'4대보험'!L37</f>
        <v>51300</v>
      </c>
      <c r="AA37" s="29">
        <f>세금!P37</f>
        <v>400200</v>
      </c>
      <c r="AB37" s="29">
        <f>세금!Q37</f>
        <v>40020</v>
      </c>
      <c r="AC37" s="14">
        <v>0</v>
      </c>
      <c r="AD37" s="28">
        <f t="shared" si="3"/>
        <v>976240</v>
      </c>
      <c r="AE37" s="28">
        <f t="shared" si="4"/>
        <v>5223760</v>
      </c>
    </row>
    <row r="38" spans="1:31" x14ac:dyDescent="0.4">
      <c r="A38" s="23">
        <v>46296</v>
      </c>
      <c r="B38" s="17">
        <v>3</v>
      </c>
      <c r="C38" s="24" t="str">
        <f>직원정보!B7</f>
        <v>S0003</v>
      </c>
      <c r="D38" s="25" t="str">
        <f>직원정보!C7</f>
        <v>다올찬</v>
      </c>
      <c r="E38" s="24" t="str">
        <f>직원정보!D7</f>
        <v>경영지원팀</v>
      </c>
      <c r="F38" s="24" t="str">
        <f>직원정보!E7</f>
        <v>이사</v>
      </c>
      <c r="G38" s="14">
        <v>5200000</v>
      </c>
      <c r="H38" s="26">
        <f>ROUND(G38/요율기준!$B$14,0)</f>
        <v>24880</v>
      </c>
      <c r="I38" s="27">
        <v>4</v>
      </c>
      <c r="J38" s="27">
        <v>0</v>
      </c>
      <c r="K38" s="14">
        <v>0</v>
      </c>
      <c r="L38" s="26">
        <f>ROUND(H38*요율기준!$B$15*I38,0)</f>
        <v>149280</v>
      </c>
      <c r="M38" s="26">
        <f>ROUND(H38*요율기준!$B$16*J38,0)</f>
        <v>0</v>
      </c>
      <c r="N38" s="14">
        <v>300000</v>
      </c>
      <c r="O38" s="14">
        <v>100000</v>
      </c>
      <c r="P38" s="14">
        <v>100000</v>
      </c>
      <c r="Q38" s="14">
        <v>100000</v>
      </c>
      <c r="R38" s="14">
        <v>200000</v>
      </c>
      <c r="S38" s="14">
        <v>200000</v>
      </c>
      <c r="T38" s="28">
        <f t="shared" si="1"/>
        <v>6349280</v>
      </c>
      <c r="U38" s="26">
        <f>Q38+MIN(R38,요율기준!$B$17)+MIN(S38,요율기준!$B$18)</f>
        <v>500000</v>
      </c>
      <c r="V38" s="28">
        <f t="shared" si="2"/>
        <v>5849280</v>
      </c>
      <c r="W38" s="29">
        <f>'4대보험'!F38</f>
        <v>263210</v>
      </c>
      <c r="X38" s="29">
        <f>'4대보험'!H38</f>
        <v>207350</v>
      </c>
      <c r="Y38" s="29">
        <f>'4대보험'!J38</f>
        <v>26850</v>
      </c>
      <c r="Z38" s="29">
        <f>'4대보험'!L38</f>
        <v>52640</v>
      </c>
      <c r="AA38" s="29">
        <f>세금!P38</f>
        <v>427540</v>
      </c>
      <c r="AB38" s="29">
        <f>세금!Q38</f>
        <v>42750</v>
      </c>
      <c r="AC38" s="14">
        <v>0</v>
      </c>
      <c r="AD38" s="28">
        <f t="shared" si="3"/>
        <v>1020340</v>
      </c>
      <c r="AE38" s="28">
        <f t="shared" si="4"/>
        <v>5328940</v>
      </c>
    </row>
    <row r="39" spans="1:31" x14ac:dyDescent="0.4">
      <c r="A39" s="23">
        <v>46327</v>
      </c>
      <c r="B39" s="17">
        <v>3</v>
      </c>
      <c r="C39" s="24" t="str">
        <f>직원정보!B7</f>
        <v>S0003</v>
      </c>
      <c r="D39" s="25" t="str">
        <f>직원정보!C7</f>
        <v>다올찬</v>
      </c>
      <c r="E39" s="24" t="str">
        <f>직원정보!D7</f>
        <v>경영지원팀</v>
      </c>
      <c r="F39" s="24" t="str">
        <f>직원정보!E7</f>
        <v>이사</v>
      </c>
      <c r="G39" s="14">
        <v>5200000</v>
      </c>
      <c r="H39" s="26">
        <f>ROUND(G39/요율기준!$B$14,0)</f>
        <v>24880</v>
      </c>
      <c r="I39" s="27">
        <v>0</v>
      </c>
      <c r="J39" s="27">
        <v>0</v>
      </c>
      <c r="K39" s="14">
        <v>0</v>
      </c>
      <c r="L39" s="26">
        <f>ROUND(H39*요율기준!$B$15*I39,0)</f>
        <v>0</v>
      </c>
      <c r="M39" s="26">
        <f>ROUND(H39*요율기준!$B$16*J39,0)</f>
        <v>0</v>
      </c>
      <c r="N39" s="14">
        <v>300000</v>
      </c>
      <c r="O39" s="14">
        <v>100000</v>
      </c>
      <c r="P39" s="14">
        <v>100000</v>
      </c>
      <c r="Q39" s="14">
        <v>100000</v>
      </c>
      <c r="R39" s="14">
        <v>200000</v>
      </c>
      <c r="S39" s="14">
        <v>200000</v>
      </c>
      <c r="T39" s="28">
        <f t="shared" si="1"/>
        <v>6200000</v>
      </c>
      <c r="U39" s="26">
        <f>Q39+MIN(R39,요율기준!$B$17)+MIN(S39,요율기준!$B$18)</f>
        <v>500000</v>
      </c>
      <c r="V39" s="28">
        <f t="shared" si="2"/>
        <v>5700000</v>
      </c>
      <c r="W39" s="29">
        <f>'4대보험'!F39</f>
        <v>256500</v>
      </c>
      <c r="X39" s="29">
        <f>'4대보험'!H39</f>
        <v>202060</v>
      </c>
      <c r="Y39" s="29">
        <f>'4대보험'!J39</f>
        <v>26160</v>
      </c>
      <c r="Z39" s="29">
        <f>'4대보험'!L39</f>
        <v>51300</v>
      </c>
      <c r="AA39" s="29">
        <f>세금!P39</f>
        <v>400200</v>
      </c>
      <c r="AB39" s="29">
        <f>세금!Q39</f>
        <v>40020</v>
      </c>
      <c r="AC39" s="14">
        <v>0</v>
      </c>
      <c r="AD39" s="28">
        <f t="shared" si="3"/>
        <v>976240</v>
      </c>
      <c r="AE39" s="28">
        <f t="shared" si="4"/>
        <v>5223760</v>
      </c>
    </row>
    <row r="40" spans="1:31" x14ac:dyDescent="0.4">
      <c r="A40" s="23">
        <v>46357</v>
      </c>
      <c r="B40" s="17">
        <v>3</v>
      </c>
      <c r="C40" s="24" t="str">
        <f>직원정보!B7</f>
        <v>S0003</v>
      </c>
      <c r="D40" s="25" t="str">
        <f>직원정보!C7</f>
        <v>다올찬</v>
      </c>
      <c r="E40" s="24" t="str">
        <f>직원정보!D7</f>
        <v>경영지원팀</v>
      </c>
      <c r="F40" s="24" t="str">
        <f>직원정보!E7</f>
        <v>이사</v>
      </c>
      <c r="G40" s="14">
        <v>5200000</v>
      </c>
      <c r="H40" s="26">
        <f>ROUND(G40/요율기준!$B$14,0)</f>
        <v>24880</v>
      </c>
      <c r="I40" s="27">
        <v>4</v>
      </c>
      <c r="J40" s="27">
        <v>0</v>
      </c>
      <c r="K40" s="14">
        <v>0</v>
      </c>
      <c r="L40" s="26">
        <f>ROUND(H40*요율기준!$B$15*I40,0)</f>
        <v>149280</v>
      </c>
      <c r="M40" s="26">
        <f>ROUND(H40*요율기준!$B$16*J40,0)</f>
        <v>0</v>
      </c>
      <c r="N40" s="14">
        <v>300000</v>
      </c>
      <c r="O40" s="14">
        <v>100000</v>
      </c>
      <c r="P40" s="14">
        <v>100000</v>
      </c>
      <c r="Q40" s="14">
        <v>100000</v>
      </c>
      <c r="R40" s="14">
        <v>200000</v>
      </c>
      <c r="S40" s="14">
        <v>200000</v>
      </c>
      <c r="T40" s="28">
        <f t="shared" si="1"/>
        <v>6349280</v>
      </c>
      <c r="U40" s="26">
        <f>Q40+MIN(R40,요율기준!$B$17)+MIN(S40,요율기준!$B$18)</f>
        <v>500000</v>
      </c>
      <c r="V40" s="28">
        <f t="shared" si="2"/>
        <v>5849280</v>
      </c>
      <c r="W40" s="29">
        <f>'4대보험'!F40</f>
        <v>263210</v>
      </c>
      <c r="X40" s="29">
        <f>'4대보험'!H40</f>
        <v>207350</v>
      </c>
      <c r="Y40" s="29">
        <f>'4대보험'!J40</f>
        <v>26850</v>
      </c>
      <c r="Z40" s="29">
        <f>'4대보험'!L40</f>
        <v>52640</v>
      </c>
      <c r="AA40" s="29">
        <f>세금!P40</f>
        <v>427540</v>
      </c>
      <c r="AB40" s="29">
        <f>세금!Q40</f>
        <v>42750</v>
      </c>
      <c r="AC40" s="14">
        <v>0</v>
      </c>
      <c r="AD40" s="28">
        <f t="shared" si="3"/>
        <v>1020340</v>
      </c>
      <c r="AE40" s="28">
        <f t="shared" si="4"/>
        <v>5328940</v>
      </c>
    </row>
    <row r="41" spans="1:31" x14ac:dyDescent="0.4">
      <c r="A41" s="23">
        <v>46023</v>
      </c>
      <c r="B41" s="17">
        <v>4</v>
      </c>
      <c r="C41" s="24" t="str">
        <f>직원정보!B8</f>
        <v>S0004</v>
      </c>
      <c r="D41" s="25" t="str">
        <f>직원정보!C8</f>
        <v>라온제</v>
      </c>
      <c r="E41" s="24" t="str">
        <f>직원정보!D8</f>
        <v>경영지원팀</v>
      </c>
      <c r="F41" s="24" t="str">
        <f>직원정보!E8</f>
        <v>과장</v>
      </c>
      <c r="G41" s="14">
        <v>3500000</v>
      </c>
      <c r="H41" s="26">
        <f>ROUND(G41/요율기준!$B$14,0)</f>
        <v>16746</v>
      </c>
      <c r="I41" s="27">
        <v>4</v>
      </c>
      <c r="J41" s="27">
        <v>0</v>
      </c>
      <c r="K41" s="14">
        <v>300000</v>
      </c>
      <c r="L41" s="26">
        <f>ROUND(H41*요율기준!$B$15*I41,0)</f>
        <v>100476</v>
      </c>
      <c r="M41" s="26">
        <f>ROUND(H41*요율기준!$B$16*J41,0)</f>
        <v>0</v>
      </c>
      <c r="N41" s="14">
        <v>100000</v>
      </c>
      <c r="O41" s="14">
        <v>100000</v>
      </c>
      <c r="P41" s="14">
        <v>0</v>
      </c>
      <c r="Q41" s="14">
        <v>100000</v>
      </c>
      <c r="R41" s="14">
        <v>200000</v>
      </c>
      <c r="S41" s="14">
        <v>200000</v>
      </c>
      <c r="T41" s="28">
        <f t="shared" si="1"/>
        <v>4600476</v>
      </c>
      <c r="U41" s="26">
        <f>Q41+MIN(R41,요율기준!$B$17)+MIN(S41,요율기준!$B$18)</f>
        <v>500000</v>
      </c>
      <c r="V41" s="28">
        <f t="shared" si="2"/>
        <v>4100476</v>
      </c>
      <c r="W41" s="29">
        <f>'4대보험'!F41</f>
        <v>184520</v>
      </c>
      <c r="X41" s="29">
        <f>'4대보험'!H41</f>
        <v>145360</v>
      </c>
      <c r="Y41" s="29">
        <f>'4대보험'!J41</f>
        <v>18820</v>
      </c>
      <c r="Z41" s="29">
        <f>'4대보험'!L41</f>
        <v>36900</v>
      </c>
      <c r="AA41" s="29">
        <f>세금!P41</f>
        <v>192660</v>
      </c>
      <c r="AB41" s="29">
        <f>세금!Q41</f>
        <v>19260</v>
      </c>
      <c r="AC41" s="14">
        <v>0</v>
      </c>
      <c r="AD41" s="28">
        <f t="shared" si="3"/>
        <v>597520</v>
      </c>
      <c r="AE41" s="28">
        <f t="shared" si="4"/>
        <v>4002956</v>
      </c>
    </row>
    <row r="42" spans="1:31" x14ac:dyDescent="0.4">
      <c r="A42" s="23">
        <v>46054</v>
      </c>
      <c r="B42" s="17">
        <v>4</v>
      </c>
      <c r="C42" s="24" t="str">
        <f>직원정보!B8</f>
        <v>S0004</v>
      </c>
      <c r="D42" s="25" t="str">
        <f>직원정보!C8</f>
        <v>라온제</v>
      </c>
      <c r="E42" s="24" t="str">
        <f>직원정보!D8</f>
        <v>경영지원팀</v>
      </c>
      <c r="F42" s="24" t="str">
        <f>직원정보!E8</f>
        <v>과장</v>
      </c>
      <c r="G42" s="14">
        <v>3500000</v>
      </c>
      <c r="H42" s="26">
        <f>ROUND(G42/요율기준!$B$14,0)</f>
        <v>16746</v>
      </c>
      <c r="I42" s="27">
        <v>0</v>
      </c>
      <c r="J42" s="27">
        <v>0</v>
      </c>
      <c r="K42" s="14">
        <v>300000</v>
      </c>
      <c r="L42" s="26">
        <f>ROUND(H42*요율기준!$B$15*I42,0)</f>
        <v>0</v>
      </c>
      <c r="M42" s="26">
        <f>ROUND(H42*요율기준!$B$16*J42,0)</f>
        <v>0</v>
      </c>
      <c r="N42" s="14">
        <v>100000</v>
      </c>
      <c r="O42" s="14">
        <v>100000</v>
      </c>
      <c r="P42" s="14">
        <v>0</v>
      </c>
      <c r="Q42" s="14">
        <v>100000</v>
      </c>
      <c r="R42" s="14">
        <v>200000</v>
      </c>
      <c r="S42" s="14">
        <v>200000</v>
      </c>
      <c r="T42" s="28">
        <f t="shared" si="1"/>
        <v>4500000</v>
      </c>
      <c r="U42" s="26">
        <f>Q42+MIN(R42,요율기준!$B$17)+MIN(S42,요율기준!$B$18)</f>
        <v>500000</v>
      </c>
      <c r="V42" s="28">
        <f t="shared" si="2"/>
        <v>4000000</v>
      </c>
      <c r="W42" s="29">
        <f>'4대보험'!F42</f>
        <v>180000</v>
      </c>
      <c r="X42" s="29">
        <f>'4대보험'!H42</f>
        <v>141800</v>
      </c>
      <c r="Y42" s="29">
        <f>'4대보험'!J42</f>
        <v>18360</v>
      </c>
      <c r="Z42" s="29">
        <f>'4대보험'!L42</f>
        <v>36000</v>
      </c>
      <c r="AA42" s="29">
        <f>세금!P42</f>
        <v>179620</v>
      </c>
      <c r="AB42" s="29">
        <f>세금!Q42</f>
        <v>17960</v>
      </c>
      <c r="AC42" s="14">
        <v>0</v>
      </c>
      <c r="AD42" s="28">
        <f t="shared" si="3"/>
        <v>573740</v>
      </c>
      <c r="AE42" s="28">
        <f t="shared" si="4"/>
        <v>3926260</v>
      </c>
    </row>
    <row r="43" spans="1:31" x14ac:dyDescent="0.4">
      <c r="A43" s="23">
        <v>46082</v>
      </c>
      <c r="B43" s="17">
        <v>4</v>
      </c>
      <c r="C43" s="24" t="str">
        <f>직원정보!B8</f>
        <v>S0004</v>
      </c>
      <c r="D43" s="25" t="str">
        <f>직원정보!C8</f>
        <v>라온제</v>
      </c>
      <c r="E43" s="24" t="str">
        <f>직원정보!D8</f>
        <v>경영지원팀</v>
      </c>
      <c r="F43" s="24" t="str">
        <f>직원정보!E8</f>
        <v>과장</v>
      </c>
      <c r="G43" s="14">
        <v>3500000</v>
      </c>
      <c r="H43" s="26">
        <f>ROUND(G43/요율기준!$B$14,0)</f>
        <v>16746</v>
      </c>
      <c r="I43" s="27">
        <v>4</v>
      </c>
      <c r="J43" s="27">
        <v>0</v>
      </c>
      <c r="K43" s="14">
        <v>300000</v>
      </c>
      <c r="L43" s="26">
        <f>ROUND(H43*요율기준!$B$15*I43,0)</f>
        <v>100476</v>
      </c>
      <c r="M43" s="26">
        <f>ROUND(H43*요율기준!$B$16*J43,0)</f>
        <v>0</v>
      </c>
      <c r="N43" s="14">
        <v>100000</v>
      </c>
      <c r="O43" s="14">
        <v>100000</v>
      </c>
      <c r="P43" s="14">
        <v>0</v>
      </c>
      <c r="Q43" s="14">
        <v>100000</v>
      </c>
      <c r="R43" s="14">
        <v>200000</v>
      </c>
      <c r="S43" s="14">
        <v>200000</v>
      </c>
      <c r="T43" s="28">
        <f t="shared" si="1"/>
        <v>4600476</v>
      </c>
      <c r="U43" s="26">
        <f>Q43+MIN(R43,요율기준!$B$17)+MIN(S43,요율기준!$B$18)</f>
        <v>500000</v>
      </c>
      <c r="V43" s="28">
        <f t="shared" si="2"/>
        <v>4100476</v>
      </c>
      <c r="W43" s="29">
        <f>'4대보험'!F43</f>
        <v>184520</v>
      </c>
      <c r="X43" s="29">
        <f>'4대보험'!H43</f>
        <v>145360</v>
      </c>
      <c r="Y43" s="29">
        <f>'4대보험'!J43</f>
        <v>18820</v>
      </c>
      <c r="Z43" s="29">
        <f>'4대보험'!L43</f>
        <v>36900</v>
      </c>
      <c r="AA43" s="29">
        <f>세금!P43</f>
        <v>192660</v>
      </c>
      <c r="AB43" s="29">
        <f>세금!Q43</f>
        <v>19260</v>
      </c>
      <c r="AC43" s="14">
        <v>0</v>
      </c>
      <c r="AD43" s="28">
        <f t="shared" si="3"/>
        <v>597520</v>
      </c>
      <c r="AE43" s="28">
        <f t="shared" si="4"/>
        <v>4002956</v>
      </c>
    </row>
    <row r="44" spans="1:31" x14ac:dyDescent="0.4">
      <c r="A44" s="23">
        <v>46113</v>
      </c>
      <c r="B44" s="17">
        <v>4</v>
      </c>
      <c r="C44" s="24" t="str">
        <f>직원정보!B8</f>
        <v>S0004</v>
      </c>
      <c r="D44" s="25" t="str">
        <f>직원정보!C8</f>
        <v>라온제</v>
      </c>
      <c r="E44" s="24" t="str">
        <f>직원정보!D8</f>
        <v>경영지원팀</v>
      </c>
      <c r="F44" s="24" t="str">
        <f>직원정보!E8</f>
        <v>과장</v>
      </c>
      <c r="G44" s="14">
        <v>3500000</v>
      </c>
      <c r="H44" s="26">
        <f>ROUND(G44/요율기준!$B$14,0)</f>
        <v>16746</v>
      </c>
      <c r="I44" s="27">
        <v>0</v>
      </c>
      <c r="J44" s="27">
        <v>0</v>
      </c>
      <c r="K44" s="14">
        <v>300000</v>
      </c>
      <c r="L44" s="26">
        <f>ROUND(H44*요율기준!$B$15*I44,0)</f>
        <v>0</v>
      </c>
      <c r="M44" s="26">
        <f>ROUND(H44*요율기준!$B$16*J44,0)</f>
        <v>0</v>
      </c>
      <c r="N44" s="14">
        <v>100000</v>
      </c>
      <c r="O44" s="14">
        <v>100000</v>
      </c>
      <c r="P44" s="14">
        <v>0</v>
      </c>
      <c r="Q44" s="14">
        <v>100000</v>
      </c>
      <c r="R44" s="14">
        <v>200000</v>
      </c>
      <c r="S44" s="14">
        <v>200000</v>
      </c>
      <c r="T44" s="28">
        <f t="shared" si="1"/>
        <v>4500000</v>
      </c>
      <c r="U44" s="26">
        <f>Q44+MIN(R44,요율기준!$B$17)+MIN(S44,요율기준!$B$18)</f>
        <v>500000</v>
      </c>
      <c r="V44" s="28">
        <f t="shared" si="2"/>
        <v>4000000</v>
      </c>
      <c r="W44" s="29">
        <f>'4대보험'!F44</f>
        <v>180000</v>
      </c>
      <c r="X44" s="29">
        <f>'4대보험'!H44</f>
        <v>141800</v>
      </c>
      <c r="Y44" s="29">
        <f>'4대보험'!J44</f>
        <v>18360</v>
      </c>
      <c r="Z44" s="29">
        <f>'4대보험'!L44</f>
        <v>36000</v>
      </c>
      <c r="AA44" s="29">
        <f>세금!P44</f>
        <v>179620</v>
      </c>
      <c r="AB44" s="29">
        <f>세금!Q44</f>
        <v>17960</v>
      </c>
      <c r="AC44" s="14">
        <v>0</v>
      </c>
      <c r="AD44" s="28">
        <f t="shared" si="3"/>
        <v>573740</v>
      </c>
      <c r="AE44" s="28">
        <f t="shared" si="4"/>
        <v>3926260</v>
      </c>
    </row>
    <row r="45" spans="1:31" x14ac:dyDescent="0.4">
      <c r="A45" s="23">
        <v>46143</v>
      </c>
      <c r="B45" s="17">
        <v>4</v>
      </c>
      <c r="C45" s="24" t="str">
        <f>직원정보!B8</f>
        <v>S0004</v>
      </c>
      <c r="D45" s="25" t="str">
        <f>직원정보!C8</f>
        <v>라온제</v>
      </c>
      <c r="E45" s="24" t="str">
        <f>직원정보!D8</f>
        <v>경영지원팀</v>
      </c>
      <c r="F45" s="24" t="str">
        <f>직원정보!E8</f>
        <v>과장</v>
      </c>
      <c r="G45" s="14">
        <v>3500000</v>
      </c>
      <c r="H45" s="26">
        <f>ROUND(G45/요율기준!$B$14,0)</f>
        <v>16746</v>
      </c>
      <c r="I45" s="27">
        <v>4</v>
      </c>
      <c r="J45" s="27">
        <v>0</v>
      </c>
      <c r="K45" s="14">
        <v>300000</v>
      </c>
      <c r="L45" s="26">
        <f>ROUND(H45*요율기준!$B$15*I45,0)</f>
        <v>100476</v>
      </c>
      <c r="M45" s="26">
        <f>ROUND(H45*요율기준!$B$16*J45,0)</f>
        <v>0</v>
      </c>
      <c r="N45" s="14">
        <v>100000</v>
      </c>
      <c r="O45" s="14">
        <v>100000</v>
      </c>
      <c r="P45" s="14">
        <v>0</v>
      </c>
      <c r="Q45" s="14">
        <v>100000</v>
      </c>
      <c r="R45" s="14">
        <v>200000</v>
      </c>
      <c r="S45" s="14">
        <v>200000</v>
      </c>
      <c r="T45" s="28">
        <f t="shared" si="1"/>
        <v>4600476</v>
      </c>
      <c r="U45" s="26">
        <f>Q45+MIN(R45,요율기준!$B$17)+MIN(S45,요율기준!$B$18)</f>
        <v>500000</v>
      </c>
      <c r="V45" s="28">
        <f t="shared" si="2"/>
        <v>4100476</v>
      </c>
      <c r="W45" s="29">
        <f>'4대보험'!F45</f>
        <v>184520</v>
      </c>
      <c r="X45" s="29">
        <f>'4대보험'!H45</f>
        <v>145360</v>
      </c>
      <c r="Y45" s="29">
        <f>'4대보험'!J45</f>
        <v>18820</v>
      </c>
      <c r="Z45" s="29">
        <f>'4대보험'!L45</f>
        <v>36900</v>
      </c>
      <c r="AA45" s="29">
        <f>세금!P45</f>
        <v>192660</v>
      </c>
      <c r="AB45" s="29">
        <f>세금!Q45</f>
        <v>19260</v>
      </c>
      <c r="AC45" s="14">
        <v>0</v>
      </c>
      <c r="AD45" s="28">
        <f t="shared" si="3"/>
        <v>597520</v>
      </c>
      <c r="AE45" s="28">
        <f t="shared" si="4"/>
        <v>4002956</v>
      </c>
    </row>
    <row r="46" spans="1:31" x14ac:dyDescent="0.4">
      <c r="A46" s="23">
        <v>46174</v>
      </c>
      <c r="B46" s="17">
        <v>4</v>
      </c>
      <c r="C46" s="24" t="str">
        <f>직원정보!B8</f>
        <v>S0004</v>
      </c>
      <c r="D46" s="25" t="str">
        <f>직원정보!C8</f>
        <v>라온제</v>
      </c>
      <c r="E46" s="24" t="str">
        <f>직원정보!D8</f>
        <v>경영지원팀</v>
      </c>
      <c r="F46" s="24" t="str">
        <f>직원정보!E8</f>
        <v>과장</v>
      </c>
      <c r="G46" s="14">
        <v>3500000</v>
      </c>
      <c r="H46" s="26">
        <f>ROUND(G46/요율기준!$B$14,0)</f>
        <v>16746</v>
      </c>
      <c r="I46" s="27">
        <v>0</v>
      </c>
      <c r="J46" s="27">
        <v>0</v>
      </c>
      <c r="K46" s="14">
        <v>300000</v>
      </c>
      <c r="L46" s="26">
        <f>ROUND(H46*요율기준!$B$15*I46,0)</f>
        <v>0</v>
      </c>
      <c r="M46" s="26">
        <f>ROUND(H46*요율기준!$B$16*J46,0)</f>
        <v>0</v>
      </c>
      <c r="N46" s="14">
        <v>100000</v>
      </c>
      <c r="O46" s="14">
        <v>100000</v>
      </c>
      <c r="P46" s="14">
        <v>0</v>
      </c>
      <c r="Q46" s="14">
        <v>100000</v>
      </c>
      <c r="R46" s="14">
        <v>200000</v>
      </c>
      <c r="S46" s="14">
        <v>200000</v>
      </c>
      <c r="T46" s="28">
        <f t="shared" si="1"/>
        <v>4500000</v>
      </c>
      <c r="U46" s="26">
        <f>Q46+MIN(R46,요율기준!$B$17)+MIN(S46,요율기준!$B$18)</f>
        <v>500000</v>
      </c>
      <c r="V46" s="28">
        <f t="shared" si="2"/>
        <v>4000000</v>
      </c>
      <c r="W46" s="29">
        <f>'4대보험'!F46</f>
        <v>180000</v>
      </c>
      <c r="X46" s="29">
        <f>'4대보험'!H46</f>
        <v>141800</v>
      </c>
      <c r="Y46" s="29">
        <f>'4대보험'!J46</f>
        <v>18360</v>
      </c>
      <c r="Z46" s="29">
        <f>'4대보험'!L46</f>
        <v>36000</v>
      </c>
      <c r="AA46" s="29">
        <f>세금!P46</f>
        <v>179620</v>
      </c>
      <c r="AB46" s="29">
        <f>세금!Q46</f>
        <v>17960</v>
      </c>
      <c r="AC46" s="14">
        <v>0</v>
      </c>
      <c r="AD46" s="28">
        <f t="shared" si="3"/>
        <v>573740</v>
      </c>
      <c r="AE46" s="28">
        <f t="shared" si="4"/>
        <v>3926260</v>
      </c>
    </row>
    <row r="47" spans="1:31" x14ac:dyDescent="0.4">
      <c r="A47" s="23">
        <v>46204</v>
      </c>
      <c r="B47" s="17">
        <v>4</v>
      </c>
      <c r="C47" s="24" t="str">
        <f>직원정보!B8</f>
        <v>S0004</v>
      </c>
      <c r="D47" s="25" t="str">
        <f>직원정보!C8</f>
        <v>라온제</v>
      </c>
      <c r="E47" s="24" t="str">
        <f>직원정보!D8</f>
        <v>경영지원팀</v>
      </c>
      <c r="F47" s="24" t="str">
        <f>직원정보!E8</f>
        <v>과장</v>
      </c>
      <c r="G47" s="14">
        <v>3500000</v>
      </c>
      <c r="H47" s="26">
        <f>ROUND(G47/요율기준!$B$14,0)</f>
        <v>16746</v>
      </c>
      <c r="I47" s="27">
        <v>4</v>
      </c>
      <c r="J47" s="27">
        <v>0</v>
      </c>
      <c r="K47" s="14">
        <v>300000</v>
      </c>
      <c r="L47" s="26">
        <f>ROUND(H47*요율기준!$B$15*I47,0)</f>
        <v>100476</v>
      </c>
      <c r="M47" s="26">
        <f>ROUND(H47*요율기준!$B$16*J47,0)</f>
        <v>0</v>
      </c>
      <c r="N47" s="14">
        <v>100000</v>
      </c>
      <c r="O47" s="14">
        <v>100000</v>
      </c>
      <c r="P47" s="14">
        <v>0</v>
      </c>
      <c r="Q47" s="14">
        <v>100000</v>
      </c>
      <c r="R47" s="14">
        <v>200000</v>
      </c>
      <c r="S47" s="14">
        <v>200000</v>
      </c>
      <c r="T47" s="28">
        <f t="shared" si="1"/>
        <v>4600476</v>
      </c>
      <c r="U47" s="26">
        <f>Q47+MIN(R47,요율기준!$B$17)+MIN(S47,요율기준!$B$18)</f>
        <v>500000</v>
      </c>
      <c r="V47" s="28">
        <f t="shared" si="2"/>
        <v>4100476</v>
      </c>
      <c r="W47" s="29">
        <f>'4대보험'!F47</f>
        <v>184520</v>
      </c>
      <c r="X47" s="29">
        <f>'4대보험'!H47</f>
        <v>145360</v>
      </c>
      <c r="Y47" s="29">
        <f>'4대보험'!J47</f>
        <v>18820</v>
      </c>
      <c r="Z47" s="29">
        <f>'4대보험'!L47</f>
        <v>36900</v>
      </c>
      <c r="AA47" s="29">
        <f>세금!P47</f>
        <v>192660</v>
      </c>
      <c r="AB47" s="29">
        <f>세금!Q47</f>
        <v>19260</v>
      </c>
      <c r="AC47" s="14">
        <v>0</v>
      </c>
      <c r="AD47" s="28">
        <f t="shared" si="3"/>
        <v>597520</v>
      </c>
      <c r="AE47" s="28">
        <f t="shared" si="4"/>
        <v>4002956</v>
      </c>
    </row>
    <row r="48" spans="1:31" x14ac:dyDescent="0.4">
      <c r="A48" s="23">
        <v>46235</v>
      </c>
      <c r="B48" s="17">
        <v>4</v>
      </c>
      <c r="C48" s="24" t="str">
        <f>직원정보!B8</f>
        <v>S0004</v>
      </c>
      <c r="D48" s="25" t="str">
        <f>직원정보!C8</f>
        <v>라온제</v>
      </c>
      <c r="E48" s="24" t="str">
        <f>직원정보!D8</f>
        <v>경영지원팀</v>
      </c>
      <c r="F48" s="24" t="str">
        <f>직원정보!E8</f>
        <v>과장</v>
      </c>
      <c r="G48" s="14">
        <v>3500000</v>
      </c>
      <c r="H48" s="26">
        <f>ROUND(G48/요율기준!$B$14,0)</f>
        <v>16746</v>
      </c>
      <c r="I48" s="27">
        <v>0</v>
      </c>
      <c r="J48" s="27">
        <v>0</v>
      </c>
      <c r="K48" s="14">
        <v>300000</v>
      </c>
      <c r="L48" s="26">
        <f>ROUND(H48*요율기준!$B$15*I48,0)</f>
        <v>0</v>
      </c>
      <c r="M48" s="26">
        <f>ROUND(H48*요율기준!$B$16*J48,0)</f>
        <v>0</v>
      </c>
      <c r="N48" s="14">
        <v>100000</v>
      </c>
      <c r="O48" s="14">
        <v>100000</v>
      </c>
      <c r="P48" s="14">
        <v>0</v>
      </c>
      <c r="Q48" s="14">
        <v>100000</v>
      </c>
      <c r="R48" s="14">
        <v>200000</v>
      </c>
      <c r="S48" s="14">
        <v>200000</v>
      </c>
      <c r="T48" s="28">
        <f t="shared" si="1"/>
        <v>4500000</v>
      </c>
      <c r="U48" s="26">
        <f>Q48+MIN(R48,요율기준!$B$17)+MIN(S48,요율기준!$B$18)</f>
        <v>500000</v>
      </c>
      <c r="V48" s="28">
        <f t="shared" si="2"/>
        <v>4000000</v>
      </c>
      <c r="W48" s="29">
        <f>'4대보험'!F48</f>
        <v>180000</v>
      </c>
      <c r="X48" s="29">
        <f>'4대보험'!H48</f>
        <v>141800</v>
      </c>
      <c r="Y48" s="29">
        <f>'4대보험'!J48</f>
        <v>18360</v>
      </c>
      <c r="Z48" s="29">
        <f>'4대보험'!L48</f>
        <v>36000</v>
      </c>
      <c r="AA48" s="29">
        <f>세금!P48</f>
        <v>179620</v>
      </c>
      <c r="AB48" s="29">
        <f>세금!Q48</f>
        <v>17960</v>
      </c>
      <c r="AC48" s="14">
        <v>0</v>
      </c>
      <c r="AD48" s="28">
        <f t="shared" si="3"/>
        <v>573740</v>
      </c>
      <c r="AE48" s="28">
        <f t="shared" si="4"/>
        <v>3926260</v>
      </c>
    </row>
    <row r="49" spans="1:31" x14ac:dyDescent="0.4">
      <c r="A49" s="23">
        <v>46266</v>
      </c>
      <c r="B49" s="17">
        <v>4</v>
      </c>
      <c r="C49" s="24" t="str">
        <f>직원정보!B8</f>
        <v>S0004</v>
      </c>
      <c r="D49" s="25" t="str">
        <f>직원정보!C8</f>
        <v>라온제</v>
      </c>
      <c r="E49" s="24" t="str">
        <f>직원정보!D8</f>
        <v>경영지원팀</v>
      </c>
      <c r="F49" s="24" t="str">
        <f>직원정보!E8</f>
        <v>과장</v>
      </c>
      <c r="G49" s="14">
        <v>3500000</v>
      </c>
      <c r="H49" s="26">
        <f>ROUND(G49/요율기준!$B$14,0)</f>
        <v>16746</v>
      </c>
      <c r="I49" s="27">
        <v>4</v>
      </c>
      <c r="J49" s="27">
        <v>0</v>
      </c>
      <c r="K49" s="14">
        <v>300000</v>
      </c>
      <c r="L49" s="26">
        <f>ROUND(H49*요율기준!$B$15*I49,0)</f>
        <v>100476</v>
      </c>
      <c r="M49" s="26">
        <f>ROUND(H49*요율기준!$B$16*J49,0)</f>
        <v>0</v>
      </c>
      <c r="N49" s="14">
        <v>100000</v>
      </c>
      <c r="O49" s="14">
        <v>100000</v>
      </c>
      <c r="P49" s="14">
        <v>0</v>
      </c>
      <c r="Q49" s="14">
        <v>100000</v>
      </c>
      <c r="R49" s="14">
        <v>200000</v>
      </c>
      <c r="S49" s="14">
        <v>200000</v>
      </c>
      <c r="T49" s="28">
        <f t="shared" si="1"/>
        <v>4600476</v>
      </c>
      <c r="U49" s="26">
        <f>Q49+MIN(R49,요율기준!$B$17)+MIN(S49,요율기준!$B$18)</f>
        <v>500000</v>
      </c>
      <c r="V49" s="28">
        <f t="shared" si="2"/>
        <v>4100476</v>
      </c>
      <c r="W49" s="29">
        <f>'4대보험'!F49</f>
        <v>184520</v>
      </c>
      <c r="X49" s="29">
        <f>'4대보험'!H49</f>
        <v>145360</v>
      </c>
      <c r="Y49" s="29">
        <f>'4대보험'!J49</f>
        <v>18820</v>
      </c>
      <c r="Z49" s="29">
        <f>'4대보험'!L49</f>
        <v>36900</v>
      </c>
      <c r="AA49" s="29">
        <f>세금!P49</f>
        <v>192660</v>
      </c>
      <c r="AB49" s="29">
        <f>세금!Q49</f>
        <v>19260</v>
      </c>
      <c r="AC49" s="14">
        <v>0</v>
      </c>
      <c r="AD49" s="28">
        <f t="shared" si="3"/>
        <v>597520</v>
      </c>
      <c r="AE49" s="28">
        <f t="shared" si="4"/>
        <v>4002956</v>
      </c>
    </row>
    <row r="50" spans="1:31" x14ac:dyDescent="0.4">
      <c r="A50" s="23">
        <v>46296</v>
      </c>
      <c r="B50" s="17">
        <v>4</v>
      </c>
      <c r="C50" s="24" t="str">
        <f>직원정보!B8</f>
        <v>S0004</v>
      </c>
      <c r="D50" s="25" t="str">
        <f>직원정보!C8</f>
        <v>라온제</v>
      </c>
      <c r="E50" s="24" t="str">
        <f>직원정보!D8</f>
        <v>경영지원팀</v>
      </c>
      <c r="F50" s="24" t="str">
        <f>직원정보!E8</f>
        <v>과장</v>
      </c>
      <c r="G50" s="14">
        <v>3500000</v>
      </c>
      <c r="H50" s="26">
        <f>ROUND(G50/요율기준!$B$14,0)</f>
        <v>16746</v>
      </c>
      <c r="I50" s="27">
        <v>0</v>
      </c>
      <c r="J50" s="27">
        <v>0</v>
      </c>
      <c r="K50" s="14">
        <v>300000</v>
      </c>
      <c r="L50" s="26">
        <f>ROUND(H50*요율기준!$B$15*I50,0)</f>
        <v>0</v>
      </c>
      <c r="M50" s="26">
        <f>ROUND(H50*요율기준!$B$16*J50,0)</f>
        <v>0</v>
      </c>
      <c r="N50" s="14">
        <v>100000</v>
      </c>
      <c r="O50" s="14">
        <v>100000</v>
      </c>
      <c r="P50" s="14">
        <v>0</v>
      </c>
      <c r="Q50" s="14">
        <v>100000</v>
      </c>
      <c r="R50" s="14">
        <v>200000</v>
      </c>
      <c r="S50" s="14">
        <v>200000</v>
      </c>
      <c r="T50" s="28">
        <f t="shared" si="1"/>
        <v>4500000</v>
      </c>
      <c r="U50" s="26">
        <f>Q50+MIN(R50,요율기준!$B$17)+MIN(S50,요율기준!$B$18)</f>
        <v>500000</v>
      </c>
      <c r="V50" s="28">
        <f t="shared" si="2"/>
        <v>4000000</v>
      </c>
      <c r="W50" s="29">
        <f>'4대보험'!F50</f>
        <v>180000</v>
      </c>
      <c r="X50" s="29">
        <f>'4대보험'!H50</f>
        <v>141800</v>
      </c>
      <c r="Y50" s="29">
        <f>'4대보험'!J50</f>
        <v>18360</v>
      </c>
      <c r="Z50" s="29">
        <f>'4대보험'!L50</f>
        <v>36000</v>
      </c>
      <c r="AA50" s="29">
        <f>세금!P50</f>
        <v>179620</v>
      </c>
      <c r="AB50" s="29">
        <f>세금!Q50</f>
        <v>17960</v>
      </c>
      <c r="AC50" s="14">
        <v>0</v>
      </c>
      <c r="AD50" s="28">
        <f t="shared" si="3"/>
        <v>573740</v>
      </c>
      <c r="AE50" s="28">
        <f t="shared" si="4"/>
        <v>3926260</v>
      </c>
    </row>
    <row r="51" spans="1:31" x14ac:dyDescent="0.4">
      <c r="A51" s="23">
        <v>46327</v>
      </c>
      <c r="B51" s="17">
        <v>4</v>
      </c>
      <c r="C51" s="24" t="str">
        <f>직원정보!B8</f>
        <v>S0004</v>
      </c>
      <c r="D51" s="25" t="str">
        <f>직원정보!C8</f>
        <v>라온제</v>
      </c>
      <c r="E51" s="24" t="str">
        <f>직원정보!D8</f>
        <v>경영지원팀</v>
      </c>
      <c r="F51" s="24" t="str">
        <f>직원정보!E8</f>
        <v>과장</v>
      </c>
      <c r="G51" s="14">
        <v>3500000</v>
      </c>
      <c r="H51" s="26">
        <f>ROUND(G51/요율기준!$B$14,0)</f>
        <v>16746</v>
      </c>
      <c r="I51" s="27">
        <v>4</v>
      </c>
      <c r="J51" s="27">
        <v>0</v>
      </c>
      <c r="K51" s="14">
        <v>300000</v>
      </c>
      <c r="L51" s="26">
        <f>ROUND(H51*요율기준!$B$15*I51,0)</f>
        <v>100476</v>
      </c>
      <c r="M51" s="26">
        <f>ROUND(H51*요율기준!$B$16*J51,0)</f>
        <v>0</v>
      </c>
      <c r="N51" s="14">
        <v>100000</v>
      </c>
      <c r="O51" s="14">
        <v>100000</v>
      </c>
      <c r="P51" s="14">
        <v>0</v>
      </c>
      <c r="Q51" s="14">
        <v>100000</v>
      </c>
      <c r="R51" s="14">
        <v>200000</v>
      </c>
      <c r="S51" s="14">
        <v>200000</v>
      </c>
      <c r="T51" s="28">
        <f t="shared" si="1"/>
        <v>4600476</v>
      </c>
      <c r="U51" s="26">
        <f>Q51+MIN(R51,요율기준!$B$17)+MIN(S51,요율기준!$B$18)</f>
        <v>500000</v>
      </c>
      <c r="V51" s="28">
        <f t="shared" si="2"/>
        <v>4100476</v>
      </c>
      <c r="W51" s="29">
        <f>'4대보험'!F51</f>
        <v>184520</v>
      </c>
      <c r="X51" s="29">
        <f>'4대보험'!H51</f>
        <v>145360</v>
      </c>
      <c r="Y51" s="29">
        <f>'4대보험'!J51</f>
        <v>18820</v>
      </c>
      <c r="Z51" s="29">
        <f>'4대보험'!L51</f>
        <v>36900</v>
      </c>
      <c r="AA51" s="29">
        <f>세금!P51</f>
        <v>192660</v>
      </c>
      <c r="AB51" s="29">
        <f>세금!Q51</f>
        <v>19260</v>
      </c>
      <c r="AC51" s="14">
        <v>0</v>
      </c>
      <c r="AD51" s="28">
        <f t="shared" si="3"/>
        <v>597520</v>
      </c>
      <c r="AE51" s="28">
        <f t="shared" si="4"/>
        <v>4002956</v>
      </c>
    </row>
    <row r="52" spans="1:31" x14ac:dyDescent="0.4">
      <c r="A52" s="23">
        <v>46357</v>
      </c>
      <c r="B52" s="17">
        <v>4</v>
      </c>
      <c r="C52" s="24" t="str">
        <f>직원정보!B8</f>
        <v>S0004</v>
      </c>
      <c r="D52" s="25" t="str">
        <f>직원정보!C8</f>
        <v>라온제</v>
      </c>
      <c r="E52" s="24" t="str">
        <f>직원정보!D8</f>
        <v>경영지원팀</v>
      </c>
      <c r="F52" s="24" t="str">
        <f>직원정보!E8</f>
        <v>과장</v>
      </c>
      <c r="G52" s="14">
        <v>3500000</v>
      </c>
      <c r="H52" s="26">
        <f>ROUND(G52/요율기준!$B$14,0)</f>
        <v>16746</v>
      </c>
      <c r="I52" s="27">
        <v>0</v>
      </c>
      <c r="J52" s="27">
        <v>0</v>
      </c>
      <c r="K52" s="14">
        <v>300000</v>
      </c>
      <c r="L52" s="26">
        <f>ROUND(H52*요율기준!$B$15*I52,0)</f>
        <v>0</v>
      </c>
      <c r="M52" s="26">
        <f>ROUND(H52*요율기준!$B$16*J52,0)</f>
        <v>0</v>
      </c>
      <c r="N52" s="14">
        <v>100000</v>
      </c>
      <c r="O52" s="14">
        <v>100000</v>
      </c>
      <c r="P52" s="14">
        <v>0</v>
      </c>
      <c r="Q52" s="14">
        <v>100000</v>
      </c>
      <c r="R52" s="14">
        <v>200000</v>
      </c>
      <c r="S52" s="14">
        <v>200000</v>
      </c>
      <c r="T52" s="28">
        <f t="shared" si="1"/>
        <v>4500000</v>
      </c>
      <c r="U52" s="26">
        <f>Q52+MIN(R52,요율기준!$B$17)+MIN(S52,요율기준!$B$18)</f>
        <v>500000</v>
      </c>
      <c r="V52" s="28">
        <f t="shared" si="2"/>
        <v>4000000</v>
      </c>
      <c r="W52" s="29">
        <f>'4대보험'!F52</f>
        <v>180000</v>
      </c>
      <c r="X52" s="29">
        <f>'4대보험'!H52</f>
        <v>141800</v>
      </c>
      <c r="Y52" s="29">
        <f>'4대보험'!J52</f>
        <v>18360</v>
      </c>
      <c r="Z52" s="29">
        <f>'4대보험'!L52</f>
        <v>36000</v>
      </c>
      <c r="AA52" s="29">
        <f>세금!P52</f>
        <v>179620</v>
      </c>
      <c r="AB52" s="29">
        <f>세금!Q52</f>
        <v>17960</v>
      </c>
      <c r="AC52" s="14">
        <v>0</v>
      </c>
      <c r="AD52" s="28">
        <f t="shared" si="3"/>
        <v>573740</v>
      </c>
      <c r="AE52" s="28">
        <f t="shared" si="4"/>
        <v>3926260</v>
      </c>
    </row>
    <row r="53" spans="1:31" x14ac:dyDescent="0.4">
      <c r="A53" s="23">
        <v>46023</v>
      </c>
      <c r="B53" s="17">
        <v>5</v>
      </c>
      <c r="C53" s="24" t="str">
        <f>직원정보!B9</f>
        <v>S0005</v>
      </c>
      <c r="D53" s="25" t="str">
        <f>직원정보!C9</f>
        <v>마루한</v>
      </c>
      <c r="E53" s="24" t="str">
        <f>직원정보!D9</f>
        <v>C&amp;M 1팀</v>
      </c>
      <c r="F53" s="24" t="str">
        <f>직원정보!E9</f>
        <v>부장</v>
      </c>
      <c r="G53" s="14">
        <v>4300000</v>
      </c>
      <c r="H53" s="26">
        <f>ROUND(G53/요율기준!$B$14,0)</f>
        <v>20574</v>
      </c>
      <c r="I53" s="27">
        <v>25</v>
      </c>
      <c r="J53" s="27">
        <v>11</v>
      </c>
      <c r="K53" s="14">
        <v>350000</v>
      </c>
      <c r="L53" s="26">
        <f>ROUND(H53*요율기준!$B$15*I53,0)</f>
        <v>771525</v>
      </c>
      <c r="M53" s="26">
        <f>ROUND(H53*요율기준!$B$16*J53,0)</f>
        <v>113157</v>
      </c>
      <c r="N53" s="14">
        <v>200000</v>
      </c>
      <c r="O53" s="14">
        <v>100000</v>
      </c>
      <c r="P53" s="14">
        <v>100000</v>
      </c>
      <c r="Q53" s="14">
        <v>100000</v>
      </c>
      <c r="R53" s="14">
        <v>200000</v>
      </c>
      <c r="S53" s="14">
        <v>200000</v>
      </c>
      <c r="T53" s="28">
        <f t="shared" si="1"/>
        <v>6434682</v>
      </c>
      <c r="U53" s="26">
        <f>Q53+MIN(R53,요율기준!$B$17)+MIN(S53,요율기준!$B$18)</f>
        <v>500000</v>
      </c>
      <c r="V53" s="28">
        <f t="shared" si="2"/>
        <v>5934682</v>
      </c>
      <c r="W53" s="29">
        <f>'4대보험'!F53</f>
        <v>267060</v>
      </c>
      <c r="X53" s="29">
        <f>'4대보험'!H53</f>
        <v>210380</v>
      </c>
      <c r="Y53" s="29">
        <f>'4대보험'!J53</f>
        <v>27240</v>
      </c>
      <c r="Z53" s="29">
        <f>'4대보험'!L53</f>
        <v>53410</v>
      </c>
      <c r="AA53" s="29">
        <f>세금!P53</f>
        <v>443980</v>
      </c>
      <c r="AB53" s="29">
        <f>세금!Q53</f>
        <v>44390</v>
      </c>
      <c r="AC53" s="14">
        <v>0</v>
      </c>
      <c r="AD53" s="28">
        <f t="shared" si="3"/>
        <v>1046460</v>
      </c>
      <c r="AE53" s="28">
        <f t="shared" si="4"/>
        <v>5388222</v>
      </c>
    </row>
    <row r="54" spans="1:31" x14ac:dyDescent="0.4">
      <c r="A54" s="23">
        <v>46054</v>
      </c>
      <c r="B54" s="17">
        <v>5</v>
      </c>
      <c r="C54" s="24" t="str">
        <f>직원정보!B9</f>
        <v>S0005</v>
      </c>
      <c r="D54" s="25" t="str">
        <f>직원정보!C9</f>
        <v>마루한</v>
      </c>
      <c r="E54" s="24" t="str">
        <f>직원정보!D9</f>
        <v>C&amp;M 1팀</v>
      </c>
      <c r="F54" s="24" t="str">
        <f>직원정보!E9</f>
        <v>부장</v>
      </c>
      <c r="G54" s="14">
        <v>4300000</v>
      </c>
      <c r="H54" s="26">
        <f>ROUND(G54/요율기준!$B$14,0)</f>
        <v>20574</v>
      </c>
      <c r="I54" s="27">
        <v>30</v>
      </c>
      <c r="J54" s="27">
        <v>2</v>
      </c>
      <c r="K54" s="14">
        <v>350000</v>
      </c>
      <c r="L54" s="26">
        <f>ROUND(H54*요율기준!$B$15*I54,0)</f>
        <v>925830</v>
      </c>
      <c r="M54" s="26">
        <f>ROUND(H54*요율기준!$B$16*J54,0)</f>
        <v>20574</v>
      </c>
      <c r="N54" s="14">
        <v>200000</v>
      </c>
      <c r="O54" s="14">
        <v>100000</v>
      </c>
      <c r="P54" s="14">
        <v>100000</v>
      </c>
      <c r="Q54" s="14">
        <v>100000</v>
      </c>
      <c r="R54" s="14">
        <v>200000</v>
      </c>
      <c r="S54" s="14">
        <v>200000</v>
      </c>
      <c r="T54" s="28">
        <f t="shared" si="1"/>
        <v>6496404</v>
      </c>
      <c r="U54" s="26">
        <f>Q54+MIN(R54,요율기준!$B$17)+MIN(S54,요율기준!$B$18)</f>
        <v>500000</v>
      </c>
      <c r="V54" s="28">
        <f t="shared" si="2"/>
        <v>5996404</v>
      </c>
      <c r="W54" s="29">
        <f>'4대보험'!F54</f>
        <v>269830</v>
      </c>
      <c r="X54" s="29">
        <f>'4대보험'!H54</f>
        <v>212570</v>
      </c>
      <c r="Y54" s="29">
        <f>'4대보험'!J54</f>
        <v>27520</v>
      </c>
      <c r="Z54" s="29">
        <f>'4대보험'!L54</f>
        <v>53960</v>
      </c>
      <c r="AA54" s="29">
        <f>세금!P54</f>
        <v>451990</v>
      </c>
      <c r="AB54" s="29">
        <f>세금!Q54</f>
        <v>45190</v>
      </c>
      <c r="AC54" s="14">
        <v>0</v>
      </c>
      <c r="AD54" s="28">
        <f t="shared" si="3"/>
        <v>1061060</v>
      </c>
      <c r="AE54" s="28">
        <f t="shared" si="4"/>
        <v>5435344</v>
      </c>
    </row>
    <row r="55" spans="1:31" x14ac:dyDescent="0.4">
      <c r="A55" s="23">
        <v>46082</v>
      </c>
      <c r="B55" s="17">
        <v>5</v>
      </c>
      <c r="C55" s="24" t="str">
        <f>직원정보!B9</f>
        <v>S0005</v>
      </c>
      <c r="D55" s="25" t="str">
        <f>직원정보!C9</f>
        <v>마루한</v>
      </c>
      <c r="E55" s="24" t="str">
        <f>직원정보!D9</f>
        <v>C&amp;M 1팀</v>
      </c>
      <c r="F55" s="24" t="str">
        <f>직원정보!E9</f>
        <v>부장</v>
      </c>
      <c r="G55" s="14">
        <v>4300000</v>
      </c>
      <c r="H55" s="26">
        <f>ROUND(G55/요율기준!$B$14,0)</f>
        <v>20574</v>
      </c>
      <c r="I55" s="27">
        <v>10</v>
      </c>
      <c r="J55" s="27">
        <v>5</v>
      </c>
      <c r="K55" s="14">
        <v>350000</v>
      </c>
      <c r="L55" s="26">
        <f>ROUND(H55*요율기준!$B$15*I55,0)</f>
        <v>308610</v>
      </c>
      <c r="M55" s="26">
        <f>ROUND(H55*요율기준!$B$16*J55,0)</f>
        <v>51435</v>
      </c>
      <c r="N55" s="14">
        <v>200000</v>
      </c>
      <c r="O55" s="14">
        <v>100000</v>
      </c>
      <c r="P55" s="14">
        <v>100000</v>
      </c>
      <c r="Q55" s="14">
        <v>100000</v>
      </c>
      <c r="R55" s="14">
        <v>200000</v>
      </c>
      <c r="S55" s="14">
        <v>200000</v>
      </c>
      <c r="T55" s="28">
        <f t="shared" si="1"/>
        <v>5910045</v>
      </c>
      <c r="U55" s="26">
        <f>Q55+MIN(R55,요율기준!$B$17)+MIN(S55,요율기준!$B$18)</f>
        <v>500000</v>
      </c>
      <c r="V55" s="28">
        <f t="shared" si="2"/>
        <v>5410045</v>
      </c>
      <c r="W55" s="29">
        <f>'4대보험'!F55</f>
        <v>243450</v>
      </c>
      <c r="X55" s="29">
        <f>'4대보험'!H55</f>
        <v>191780</v>
      </c>
      <c r="Y55" s="29">
        <f>'4대보험'!J55</f>
        <v>24830</v>
      </c>
      <c r="Z55" s="29">
        <f>'4대보험'!L55</f>
        <v>48690</v>
      </c>
      <c r="AA55" s="29">
        <f>세금!P55</f>
        <v>362570</v>
      </c>
      <c r="AB55" s="29">
        <f>세금!Q55</f>
        <v>36250</v>
      </c>
      <c r="AC55" s="14">
        <v>0</v>
      </c>
      <c r="AD55" s="28">
        <f t="shared" si="3"/>
        <v>907570</v>
      </c>
      <c r="AE55" s="28">
        <f t="shared" si="4"/>
        <v>5002475</v>
      </c>
    </row>
    <row r="56" spans="1:31" x14ac:dyDescent="0.4">
      <c r="A56" s="23">
        <v>46113</v>
      </c>
      <c r="B56" s="17">
        <v>5</v>
      </c>
      <c r="C56" s="24" t="str">
        <f>직원정보!B9</f>
        <v>S0005</v>
      </c>
      <c r="D56" s="25" t="str">
        <f>직원정보!C9</f>
        <v>마루한</v>
      </c>
      <c r="E56" s="24" t="str">
        <f>직원정보!D9</f>
        <v>C&amp;M 1팀</v>
      </c>
      <c r="F56" s="24" t="str">
        <f>직원정보!E9</f>
        <v>부장</v>
      </c>
      <c r="G56" s="14">
        <v>4300000</v>
      </c>
      <c r="H56" s="26">
        <f>ROUND(G56/요율기준!$B$14,0)</f>
        <v>20574</v>
      </c>
      <c r="I56" s="27">
        <v>15</v>
      </c>
      <c r="J56" s="27">
        <v>8</v>
      </c>
      <c r="K56" s="14">
        <v>350000</v>
      </c>
      <c r="L56" s="26">
        <f>ROUND(H56*요율기준!$B$15*I56,0)</f>
        <v>462915</v>
      </c>
      <c r="M56" s="26">
        <f>ROUND(H56*요율기준!$B$16*J56,0)</f>
        <v>82296</v>
      </c>
      <c r="N56" s="14">
        <v>200000</v>
      </c>
      <c r="O56" s="14">
        <v>100000</v>
      </c>
      <c r="P56" s="14">
        <v>100000</v>
      </c>
      <c r="Q56" s="14">
        <v>100000</v>
      </c>
      <c r="R56" s="14">
        <v>200000</v>
      </c>
      <c r="S56" s="14">
        <v>200000</v>
      </c>
      <c r="T56" s="28">
        <f t="shared" si="1"/>
        <v>6095211</v>
      </c>
      <c r="U56" s="26">
        <f>Q56+MIN(R56,요율기준!$B$17)+MIN(S56,요율기준!$B$18)</f>
        <v>500000</v>
      </c>
      <c r="V56" s="28">
        <f t="shared" si="2"/>
        <v>5595211</v>
      </c>
      <c r="W56" s="29">
        <f>'4대보험'!F56</f>
        <v>251780</v>
      </c>
      <c r="X56" s="29">
        <f>'4대보험'!H56</f>
        <v>198350</v>
      </c>
      <c r="Y56" s="29">
        <f>'4대보험'!J56</f>
        <v>25680</v>
      </c>
      <c r="Z56" s="29">
        <f>'4대보험'!L56</f>
        <v>50350</v>
      </c>
      <c r="AA56" s="29">
        <f>세금!P56</f>
        <v>386600</v>
      </c>
      <c r="AB56" s="29">
        <f>세금!Q56</f>
        <v>38660</v>
      </c>
      <c r="AC56" s="14">
        <v>0</v>
      </c>
      <c r="AD56" s="28">
        <f t="shared" si="3"/>
        <v>951420</v>
      </c>
      <c r="AE56" s="28">
        <f t="shared" si="4"/>
        <v>5143791</v>
      </c>
    </row>
    <row r="57" spans="1:31" x14ac:dyDescent="0.4">
      <c r="A57" s="23">
        <v>46143</v>
      </c>
      <c r="B57" s="17">
        <v>5</v>
      </c>
      <c r="C57" s="24" t="str">
        <f>직원정보!B9</f>
        <v>S0005</v>
      </c>
      <c r="D57" s="25" t="str">
        <f>직원정보!C9</f>
        <v>마루한</v>
      </c>
      <c r="E57" s="24" t="str">
        <f>직원정보!D9</f>
        <v>C&amp;M 1팀</v>
      </c>
      <c r="F57" s="24" t="str">
        <f>직원정보!E9</f>
        <v>부장</v>
      </c>
      <c r="G57" s="14">
        <v>4300000</v>
      </c>
      <c r="H57" s="26">
        <f>ROUND(G57/요율기준!$B$14,0)</f>
        <v>20574</v>
      </c>
      <c r="I57" s="27">
        <v>20</v>
      </c>
      <c r="J57" s="27">
        <v>11</v>
      </c>
      <c r="K57" s="14">
        <v>350000</v>
      </c>
      <c r="L57" s="26">
        <f>ROUND(H57*요율기준!$B$15*I57,0)</f>
        <v>617220</v>
      </c>
      <c r="M57" s="26">
        <f>ROUND(H57*요율기준!$B$16*J57,0)</f>
        <v>113157</v>
      </c>
      <c r="N57" s="14">
        <v>200000</v>
      </c>
      <c r="O57" s="14">
        <v>100000</v>
      </c>
      <c r="P57" s="14">
        <v>100000</v>
      </c>
      <c r="Q57" s="14">
        <v>100000</v>
      </c>
      <c r="R57" s="14">
        <v>200000</v>
      </c>
      <c r="S57" s="14">
        <v>200000</v>
      </c>
      <c r="T57" s="28">
        <f t="shared" si="1"/>
        <v>6280377</v>
      </c>
      <c r="U57" s="26">
        <f>Q57+MIN(R57,요율기준!$B$17)+MIN(S57,요율기준!$B$18)</f>
        <v>500000</v>
      </c>
      <c r="V57" s="28">
        <f t="shared" si="2"/>
        <v>5780377</v>
      </c>
      <c r="W57" s="29">
        <f>'4대보험'!F57</f>
        <v>260110</v>
      </c>
      <c r="X57" s="29">
        <f>'4대보험'!H57</f>
        <v>204910</v>
      </c>
      <c r="Y57" s="29">
        <f>'4대보험'!J57</f>
        <v>26530</v>
      </c>
      <c r="Z57" s="29">
        <f>'4대보험'!L57</f>
        <v>52020</v>
      </c>
      <c r="AA57" s="29">
        <f>세금!P57</f>
        <v>410620</v>
      </c>
      <c r="AB57" s="29">
        <f>세금!Q57</f>
        <v>41060</v>
      </c>
      <c r="AC57" s="14">
        <v>0</v>
      </c>
      <c r="AD57" s="28">
        <f t="shared" si="3"/>
        <v>995250</v>
      </c>
      <c r="AE57" s="28">
        <f t="shared" si="4"/>
        <v>5285127</v>
      </c>
    </row>
    <row r="58" spans="1:31" x14ac:dyDescent="0.4">
      <c r="A58" s="23">
        <v>46174</v>
      </c>
      <c r="B58" s="17">
        <v>5</v>
      </c>
      <c r="C58" s="24" t="str">
        <f>직원정보!B9</f>
        <v>S0005</v>
      </c>
      <c r="D58" s="25" t="str">
        <f>직원정보!C9</f>
        <v>마루한</v>
      </c>
      <c r="E58" s="24" t="str">
        <f>직원정보!D9</f>
        <v>C&amp;M 1팀</v>
      </c>
      <c r="F58" s="24" t="str">
        <f>직원정보!E9</f>
        <v>부장</v>
      </c>
      <c r="G58" s="14">
        <v>4300000</v>
      </c>
      <c r="H58" s="26">
        <f>ROUND(G58/요율기준!$B$14,0)</f>
        <v>20574</v>
      </c>
      <c r="I58" s="27">
        <v>25</v>
      </c>
      <c r="J58" s="27">
        <v>2</v>
      </c>
      <c r="K58" s="14">
        <v>350000</v>
      </c>
      <c r="L58" s="26">
        <f>ROUND(H58*요율기준!$B$15*I58,0)</f>
        <v>771525</v>
      </c>
      <c r="M58" s="26">
        <f>ROUND(H58*요율기준!$B$16*J58,0)</f>
        <v>20574</v>
      </c>
      <c r="N58" s="14">
        <v>200000</v>
      </c>
      <c r="O58" s="14">
        <v>100000</v>
      </c>
      <c r="P58" s="14">
        <v>100000</v>
      </c>
      <c r="Q58" s="14">
        <v>100000</v>
      </c>
      <c r="R58" s="14">
        <v>200000</v>
      </c>
      <c r="S58" s="14">
        <v>200000</v>
      </c>
      <c r="T58" s="28">
        <f t="shared" si="1"/>
        <v>6342099</v>
      </c>
      <c r="U58" s="26">
        <f>Q58+MIN(R58,요율기준!$B$17)+MIN(S58,요율기준!$B$18)</f>
        <v>500000</v>
      </c>
      <c r="V58" s="28">
        <f t="shared" si="2"/>
        <v>5842099</v>
      </c>
      <c r="W58" s="29">
        <f>'4대보험'!F58</f>
        <v>262890</v>
      </c>
      <c r="X58" s="29">
        <f>'4대보험'!H58</f>
        <v>207100</v>
      </c>
      <c r="Y58" s="29">
        <f>'4대보험'!J58</f>
        <v>26810</v>
      </c>
      <c r="Z58" s="29">
        <f>'4대보험'!L58</f>
        <v>52570</v>
      </c>
      <c r="AA58" s="29">
        <f>세금!P58</f>
        <v>423020</v>
      </c>
      <c r="AB58" s="29">
        <f>세금!Q58</f>
        <v>42300</v>
      </c>
      <c r="AC58" s="14">
        <v>0</v>
      </c>
      <c r="AD58" s="28">
        <f t="shared" si="3"/>
        <v>1014690</v>
      </c>
      <c r="AE58" s="28">
        <f t="shared" si="4"/>
        <v>5327409</v>
      </c>
    </row>
    <row r="59" spans="1:31" x14ac:dyDescent="0.4">
      <c r="A59" s="23">
        <v>46204</v>
      </c>
      <c r="B59" s="17">
        <v>5</v>
      </c>
      <c r="C59" s="24" t="str">
        <f>직원정보!B9</f>
        <v>S0005</v>
      </c>
      <c r="D59" s="25" t="str">
        <f>직원정보!C9</f>
        <v>마루한</v>
      </c>
      <c r="E59" s="24" t="str">
        <f>직원정보!D9</f>
        <v>C&amp;M 1팀</v>
      </c>
      <c r="F59" s="24" t="str">
        <f>직원정보!E9</f>
        <v>부장</v>
      </c>
      <c r="G59" s="14">
        <v>4300000</v>
      </c>
      <c r="H59" s="26">
        <f>ROUND(G59/요율기준!$B$14,0)</f>
        <v>20574</v>
      </c>
      <c r="I59" s="27">
        <v>30</v>
      </c>
      <c r="J59" s="27">
        <v>5</v>
      </c>
      <c r="K59" s="14">
        <v>350000</v>
      </c>
      <c r="L59" s="26">
        <f>ROUND(H59*요율기준!$B$15*I59,0)</f>
        <v>925830</v>
      </c>
      <c r="M59" s="26">
        <f>ROUND(H59*요율기준!$B$16*J59,0)</f>
        <v>51435</v>
      </c>
      <c r="N59" s="14">
        <v>200000</v>
      </c>
      <c r="O59" s="14">
        <v>100000</v>
      </c>
      <c r="P59" s="14">
        <v>100000</v>
      </c>
      <c r="Q59" s="14">
        <v>100000</v>
      </c>
      <c r="R59" s="14">
        <v>200000</v>
      </c>
      <c r="S59" s="14">
        <v>200000</v>
      </c>
      <c r="T59" s="28">
        <f t="shared" si="1"/>
        <v>6527265</v>
      </c>
      <c r="U59" s="26">
        <f>Q59+MIN(R59,요율기준!$B$17)+MIN(S59,요율기준!$B$18)</f>
        <v>500000</v>
      </c>
      <c r="V59" s="28">
        <f t="shared" si="2"/>
        <v>6027265</v>
      </c>
      <c r="W59" s="29">
        <f>'4대보험'!F59</f>
        <v>271220</v>
      </c>
      <c r="X59" s="29">
        <f>'4대보험'!H59</f>
        <v>213660</v>
      </c>
      <c r="Y59" s="29">
        <f>'4대보험'!J59</f>
        <v>27660</v>
      </c>
      <c r="Z59" s="29">
        <f>'4대보험'!L59</f>
        <v>54240</v>
      </c>
      <c r="AA59" s="29">
        <f>세금!P59</f>
        <v>455990</v>
      </c>
      <c r="AB59" s="29">
        <f>세금!Q59</f>
        <v>45590</v>
      </c>
      <c r="AC59" s="14">
        <v>0</v>
      </c>
      <c r="AD59" s="28">
        <f t="shared" si="3"/>
        <v>1068360</v>
      </c>
      <c r="AE59" s="28">
        <f t="shared" si="4"/>
        <v>5458905</v>
      </c>
    </row>
    <row r="60" spans="1:31" x14ac:dyDescent="0.4">
      <c r="A60" s="23">
        <v>46235</v>
      </c>
      <c r="B60" s="17">
        <v>5</v>
      </c>
      <c r="C60" s="24" t="str">
        <f>직원정보!B9</f>
        <v>S0005</v>
      </c>
      <c r="D60" s="25" t="str">
        <f>직원정보!C9</f>
        <v>마루한</v>
      </c>
      <c r="E60" s="24" t="str">
        <f>직원정보!D9</f>
        <v>C&amp;M 1팀</v>
      </c>
      <c r="F60" s="24" t="str">
        <f>직원정보!E9</f>
        <v>부장</v>
      </c>
      <c r="G60" s="14">
        <v>4300000</v>
      </c>
      <c r="H60" s="26">
        <f>ROUND(G60/요율기준!$B$14,0)</f>
        <v>20574</v>
      </c>
      <c r="I60" s="27">
        <v>10</v>
      </c>
      <c r="J60" s="27">
        <v>8</v>
      </c>
      <c r="K60" s="14">
        <v>350000</v>
      </c>
      <c r="L60" s="26">
        <f>ROUND(H60*요율기준!$B$15*I60,0)</f>
        <v>308610</v>
      </c>
      <c r="M60" s="26">
        <f>ROUND(H60*요율기준!$B$16*J60,0)</f>
        <v>82296</v>
      </c>
      <c r="N60" s="14">
        <v>200000</v>
      </c>
      <c r="O60" s="14">
        <v>100000</v>
      </c>
      <c r="P60" s="14">
        <v>100000</v>
      </c>
      <c r="Q60" s="14">
        <v>100000</v>
      </c>
      <c r="R60" s="14">
        <v>200000</v>
      </c>
      <c r="S60" s="14">
        <v>200000</v>
      </c>
      <c r="T60" s="28">
        <f t="shared" si="1"/>
        <v>5940906</v>
      </c>
      <c r="U60" s="26">
        <f>Q60+MIN(R60,요율기준!$B$17)+MIN(S60,요율기준!$B$18)</f>
        <v>500000</v>
      </c>
      <c r="V60" s="28">
        <f t="shared" si="2"/>
        <v>5440906</v>
      </c>
      <c r="W60" s="29">
        <f>'4대보험'!F60</f>
        <v>244840</v>
      </c>
      <c r="X60" s="29">
        <f>'4대보험'!H60</f>
        <v>192880</v>
      </c>
      <c r="Y60" s="29">
        <f>'4대보험'!J60</f>
        <v>24970</v>
      </c>
      <c r="Z60" s="29">
        <f>'4대보험'!L60</f>
        <v>48960</v>
      </c>
      <c r="AA60" s="29">
        <f>세금!P60</f>
        <v>366580</v>
      </c>
      <c r="AB60" s="29">
        <f>세금!Q60</f>
        <v>36650</v>
      </c>
      <c r="AC60" s="14">
        <v>0</v>
      </c>
      <c r="AD60" s="28">
        <f t="shared" si="3"/>
        <v>914880</v>
      </c>
      <c r="AE60" s="28">
        <f t="shared" si="4"/>
        <v>5026026</v>
      </c>
    </row>
    <row r="61" spans="1:31" x14ac:dyDescent="0.4">
      <c r="A61" s="23">
        <v>46266</v>
      </c>
      <c r="B61" s="17">
        <v>5</v>
      </c>
      <c r="C61" s="24" t="str">
        <f>직원정보!B9</f>
        <v>S0005</v>
      </c>
      <c r="D61" s="25" t="str">
        <f>직원정보!C9</f>
        <v>마루한</v>
      </c>
      <c r="E61" s="24" t="str">
        <f>직원정보!D9</f>
        <v>C&amp;M 1팀</v>
      </c>
      <c r="F61" s="24" t="str">
        <f>직원정보!E9</f>
        <v>부장</v>
      </c>
      <c r="G61" s="14">
        <v>4300000</v>
      </c>
      <c r="H61" s="26">
        <f>ROUND(G61/요율기준!$B$14,0)</f>
        <v>20574</v>
      </c>
      <c r="I61" s="27">
        <v>15</v>
      </c>
      <c r="J61" s="27">
        <v>11</v>
      </c>
      <c r="K61" s="14">
        <v>350000</v>
      </c>
      <c r="L61" s="26">
        <f>ROUND(H61*요율기준!$B$15*I61,0)</f>
        <v>462915</v>
      </c>
      <c r="M61" s="26">
        <f>ROUND(H61*요율기준!$B$16*J61,0)</f>
        <v>113157</v>
      </c>
      <c r="N61" s="14">
        <v>200000</v>
      </c>
      <c r="O61" s="14">
        <v>100000</v>
      </c>
      <c r="P61" s="14">
        <v>100000</v>
      </c>
      <c r="Q61" s="14">
        <v>100000</v>
      </c>
      <c r="R61" s="14">
        <v>200000</v>
      </c>
      <c r="S61" s="14">
        <v>200000</v>
      </c>
      <c r="T61" s="28">
        <f t="shared" si="1"/>
        <v>6126072</v>
      </c>
      <c r="U61" s="26">
        <f>Q61+MIN(R61,요율기준!$B$17)+MIN(S61,요율기준!$B$18)</f>
        <v>500000</v>
      </c>
      <c r="V61" s="28">
        <f t="shared" si="2"/>
        <v>5626072</v>
      </c>
      <c r="W61" s="29">
        <f>'4대보험'!F61</f>
        <v>253170</v>
      </c>
      <c r="X61" s="29">
        <f>'4대보험'!H61</f>
        <v>199440</v>
      </c>
      <c r="Y61" s="29">
        <f>'4대보험'!J61</f>
        <v>25820</v>
      </c>
      <c r="Z61" s="29">
        <f>'4대보험'!L61</f>
        <v>50630</v>
      </c>
      <c r="AA61" s="29">
        <f>세금!P61</f>
        <v>390600</v>
      </c>
      <c r="AB61" s="29">
        <f>세금!Q61</f>
        <v>39060</v>
      </c>
      <c r="AC61" s="14">
        <v>0</v>
      </c>
      <c r="AD61" s="28">
        <f t="shared" si="3"/>
        <v>958720</v>
      </c>
      <c r="AE61" s="28">
        <f t="shared" si="4"/>
        <v>5167352</v>
      </c>
    </row>
    <row r="62" spans="1:31" x14ac:dyDescent="0.4">
      <c r="A62" s="23">
        <v>46296</v>
      </c>
      <c r="B62" s="17">
        <v>5</v>
      </c>
      <c r="C62" s="24" t="str">
        <f>직원정보!B9</f>
        <v>S0005</v>
      </c>
      <c r="D62" s="25" t="str">
        <f>직원정보!C9</f>
        <v>마루한</v>
      </c>
      <c r="E62" s="24" t="str">
        <f>직원정보!D9</f>
        <v>C&amp;M 1팀</v>
      </c>
      <c r="F62" s="24" t="str">
        <f>직원정보!E9</f>
        <v>부장</v>
      </c>
      <c r="G62" s="14">
        <v>4300000</v>
      </c>
      <c r="H62" s="26">
        <f>ROUND(G62/요율기준!$B$14,0)</f>
        <v>20574</v>
      </c>
      <c r="I62" s="27">
        <v>20</v>
      </c>
      <c r="J62" s="27">
        <v>2</v>
      </c>
      <c r="K62" s="14">
        <v>350000</v>
      </c>
      <c r="L62" s="26">
        <f>ROUND(H62*요율기준!$B$15*I62,0)</f>
        <v>617220</v>
      </c>
      <c r="M62" s="26">
        <f>ROUND(H62*요율기준!$B$16*J62,0)</f>
        <v>20574</v>
      </c>
      <c r="N62" s="14">
        <v>200000</v>
      </c>
      <c r="O62" s="14">
        <v>100000</v>
      </c>
      <c r="P62" s="14">
        <v>100000</v>
      </c>
      <c r="Q62" s="14">
        <v>100000</v>
      </c>
      <c r="R62" s="14">
        <v>200000</v>
      </c>
      <c r="S62" s="14">
        <v>200000</v>
      </c>
      <c r="T62" s="28">
        <f t="shared" si="1"/>
        <v>6187794</v>
      </c>
      <c r="U62" s="26">
        <f>Q62+MIN(R62,요율기준!$B$17)+MIN(S62,요율기준!$B$18)</f>
        <v>500000</v>
      </c>
      <c r="V62" s="28">
        <f t="shared" si="2"/>
        <v>5687794</v>
      </c>
      <c r="W62" s="29">
        <f>'4대보험'!F62</f>
        <v>255950</v>
      </c>
      <c r="X62" s="29">
        <f>'4대보험'!H62</f>
        <v>201630</v>
      </c>
      <c r="Y62" s="29">
        <f>'4대보험'!J62</f>
        <v>26110</v>
      </c>
      <c r="Z62" s="29">
        <f>'4대보험'!L62</f>
        <v>51190</v>
      </c>
      <c r="AA62" s="29">
        <f>세금!P62</f>
        <v>398610</v>
      </c>
      <c r="AB62" s="29">
        <f>세금!Q62</f>
        <v>39860</v>
      </c>
      <c r="AC62" s="14">
        <v>0</v>
      </c>
      <c r="AD62" s="28">
        <f t="shared" si="3"/>
        <v>973350</v>
      </c>
      <c r="AE62" s="28">
        <f t="shared" si="4"/>
        <v>5214444</v>
      </c>
    </row>
    <row r="63" spans="1:31" x14ac:dyDescent="0.4">
      <c r="A63" s="23">
        <v>46327</v>
      </c>
      <c r="B63" s="17">
        <v>5</v>
      </c>
      <c r="C63" s="24" t="str">
        <f>직원정보!B9</f>
        <v>S0005</v>
      </c>
      <c r="D63" s="25" t="str">
        <f>직원정보!C9</f>
        <v>마루한</v>
      </c>
      <c r="E63" s="24" t="str">
        <f>직원정보!D9</f>
        <v>C&amp;M 1팀</v>
      </c>
      <c r="F63" s="24" t="str">
        <f>직원정보!E9</f>
        <v>부장</v>
      </c>
      <c r="G63" s="14">
        <v>4300000</v>
      </c>
      <c r="H63" s="26">
        <f>ROUND(G63/요율기준!$B$14,0)</f>
        <v>20574</v>
      </c>
      <c r="I63" s="27">
        <v>25</v>
      </c>
      <c r="J63" s="27">
        <v>5</v>
      </c>
      <c r="K63" s="14">
        <v>350000</v>
      </c>
      <c r="L63" s="26">
        <f>ROUND(H63*요율기준!$B$15*I63,0)</f>
        <v>771525</v>
      </c>
      <c r="M63" s="26">
        <f>ROUND(H63*요율기준!$B$16*J63,0)</f>
        <v>51435</v>
      </c>
      <c r="N63" s="14">
        <v>200000</v>
      </c>
      <c r="O63" s="14">
        <v>100000</v>
      </c>
      <c r="P63" s="14">
        <v>100000</v>
      </c>
      <c r="Q63" s="14">
        <v>100000</v>
      </c>
      <c r="R63" s="14">
        <v>200000</v>
      </c>
      <c r="S63" s="14">
        <v>200000</v>
      </c>
      <c r="T63" s="28">
        <f t="shared" si="1"/>
        <v>6372960</v>
      </c>
      <c r="U63" s="26">
        <f>Q63+MIN(R63,요율기준!$B$17)+MIN(S63,요율기준!$B$18)</f>
        <v>500000</v>
      </c>
      <c r="V63" s="28">
        <f t="shared" si="2"/>
        <v>5872960</v>
      </c>
      <c r="W63" s="29">
        <f>'4대보험'!F63</f>
        <v>264280</v>
      </c>
      <c r="X63" s="29">
        <f>'4대보험'!H63</f>
        <v>208190</v>
      </c>
      <c r="Y63" s="29">
        <f>'4대보험'!J63</f>
        <v>26960</v>
      </c>
      <c r="Z63" s="29">
        <f>'4대보험'!L63</f>
        <v>52850</v>
      </c>
      <c r="AA63" s="29">
        <f>세금!P63</f>
        <v>435970</v>
      </c>
      <c r="AB63" s="29">
        <f>세금!Q63</f>
        <v>43590</v>
      </c>
      <c r="AC63" s="14">
        <v>0</v>
      </c>
      <c r="AD63" s="28">
        <f t="shared" si="3"/>
        <v>1031840</v>
      </c>
      <c r="AE63" s="28">
        <f t="shared" si="4"/>
        <v>5341120</v>
      </c>
    </row>
    <row r="64" spans="1:31" x14ac:dyDescent="0.4">
      <c r="A64" s="23">
        <v>46357</v>
      </c>
      <c r="B64" s="17">
        <v>5</v>
      </c>
      <c r="C64" s="24" t="str">
        <f>직원정보!B9</f>
        <v>S0005</v>
      </c>
      <c r="D64" s="25" t="str">
        <f>직원정보!C9</f>
        <v>마루한</v>
      </c>
      <c r="E64" s="24" t="str">
        <f>직원정보!D9</f>
        <v>C&amp;M 1팀</v>
      </c>
      <c r="F64" s="24" t="str">
        <f>직원정보!E9</f>
        <v>부장</v>
      </c>
      <c r="G64" s="14">
        <v>4300000</v>
      </c>
      <c r="H64" s="26">
        <f>ROUND(G64/요율기준!$B$14,0)</f>
        <v>20574</v>
      </c>
      <c r="I64" s="27">
        <v>30</v>
      </c>
      <c r="J64" s="27">
        <v>8</v>
      </c>
      <c r="K64" s="14">
        <v>350000</v>
      </c>
      <c r="L64" s="26">
        <f>ROUND(H64*요율기준!$B$15*I64,0)</f>
        <v>925830</v>
      </c>
      <c r="M64" s="26">
        <f>ROUND(H64*요율기준!$B$16*J64,0)</f>
        <v>82296</v>
      </c>
      <c r="N64" s="14">
        <v>200000</v>
      </c>
      <c r="O64" s="14">
        <v>100000</v>
      </c>
      <c r="P64" s="14">
        <v>100000</v>
      </c>
      <c r="Q64" s="14">
        <v>100000</v>
      </c>
      <c r="R64" s="14">
        <v>200000</v>
      </c>
      <c r="S64" s="14">
        <v>200000</v>
      </c>
      <c r="T64" s="28">
        <f t="shared" si="1"/>
        <v>6558126</v>
      </c>
      <c r="U64" s="26">
        <f>Q64+MIN(R64,요율기준!$B$17)+MIN(S64,요율기준!$B$18)</f>
        <v>500000</v>
      </c>
      <c r="V64" s="28">
        <f t="shared" si="2"/>
        <v>6058126</v>
      </c>
      <c r="W64" s="29">
        <f>'4대보험'!F64</f>
        <v>272610</v>
      </c>
      <c r="X64" s="29">
        <f>'4대보험'!H64</f>
        <v>214760</v>
      </c>
      <c r="Y64" s="29">
        <f>'4대보험'!J64</f>
        <v>27810</v>
      </c>
      <c r="Z64" s="29">
        <f>'4대보험'!L64</f>
        <v>54520</v>
      </c>
      <c r="AA64" s="29">
        <f>세금!P64</f>
        <v>460000</v>
      </c>
      <c r="AB64" s="29">
        <f>세금!Q64</f>
        <v>46000</v>
      </c>
      <c r="AC64" s="14">
        <v>0</v>
      </c>
      <c r="AD64" s="28">
        <f t="shared" si="3"/>
        <v>1075700</v>
      </c>
      <c r="AE64" s="28">
        <f t="shared" si="4"/>
        <v>5482426</v>
      </c>
    </row>
    <row r="65" spans="1:31" x14ac:dyDescent="0.4">
      <c r="A65" s="23">
        <v>46023</v>
      </c>
      <c r="B65" s="17">
        <v>6</v>
      </c>
      <c r="C65" s="24" t="str">
        <f>직원정보!B10</f>
        <v>S0006</v>
      </c>
      <c r="D65" s="25" t="str">
        <f>직원정보!C10</f>
        <v>바다별</v>
      </c>
      <c r="E65" s="24" t="str">
        <f>직원정보!D10</f>
        <v>C&amp;S 1팀</v>
      </c>
      <c r="F65" s="24" t="str">
        <f>직원정보!E10</f>
        <v>부장</v>
      </c>
      <c r="G65" s="14">
        <v>4300000</v>
      </c>
      <c r="H65" s="26">
        <f>ROUND(G65/요율기준!$B$14,0)</f>
        <v>20574</v>
      </c>
      <c r="I65" s="27">
        <v>28</v>
      </c>
      <c r="J65" s="27">
        <v>1</v>
      </c>
      <c r="K65" s="14">
        <v>350000</v>
      </c>
      <c r="L65" s="26">
        <f>ROUND(H65*요율기준!$B$15*I65,0)</f>
        <v>864108</v>
      </c>
      <c r="M65" s="26">
        <f>ROUND(H65*요율기준!$B$16*J65,0)</f>
        <v>10287</v>
      </c>
      <c r="N65" s="14">
        <v>200000</v>
      </c>
      <c r="O65" s="14">
        <v>100000</v>
      </c>
      <c r="P65" s="14">
        <v>100000</v>
      </c>
      <c r="Q65" s="14">
        <v>100000</v>
      </c>
      <c r="R65" s="14">
        <v>200000</v>
      </c>
      <c r="S65" s="14">
        <v>200000</v>
      </c>
      <c r="T65" s="28">
        <f t="shared" si="1"/>
        <v>6424395</v>
      </c>
      <c r="U65" s="26">
        <f>Q65+MIN(R65,요율기준!$B$17)+MIN(S65,요율기준!$B$18)</f>
        <v>500000</v>
      </c>
      <c r="V65" s="28">
        <f t="shared" si="2"/>
        <v>5924395</v>
      </c>
      <c r="W65" s="29">
        <f>'4대보험'!F65</f>
        <v>266590</v>
      </c>
      <c r="X65" s="29">
        <f>'4대보험'!H65</f>
        <v>210010</v>
      </c>
      <c r="Y65" s="29">
        <f>'4대보험'!J65</f>
        <v>27190</v>
      </c>
      <c r="Z65" s="29">
        <f>'4대보험'!L65</f>
        <v>53310</v>
      </c>
      <c r="AA65" s="29">
        <f>세금!P65</f>
        <v>442640</v>
      </c>
      <c r="AB65" s="29">
        <f>세금!Q65</f>
        <v>44260</v>
      </c>
      <c r="AC65" s="14">
        <v>0</v>
      </c>
      <c r="AD65" s="28">
        <f t="shared" si="3"/>
        <v>1044000</v>
      </c>
      <c r="AE65" s="28">
        <f t="shared" si="4"/>
        <v>5380395</v>
      </c>
    </row>
    <row r="66" spans="1:31" x14ac:dyDescent="0.4">
      <c r="A66" s="23">
        <v>46054</v>
      </c>
      <c r="B66" s="17">
        <v>6</v>
      </c>
      <c r="C66" s="24" t="str">
        <f>직원정보!B10</f>
        <v>S0006</v>
      </c>
      <c r="D66" s="25" t="str">
        <f>직원정보!C10</f>
        <v>바다별</v>
      </c>
      <c r="E66" s="24" t="str">
        <f>직원정보!D10</f>
        <v>C&amp;S 1팀</v>
      </c>
      <c r="F66" s="24" t="str">
        <f>직원정보!E10</f>
        <v>부장</v>
      </c>
      <c r="G66" s="14">
        <v>4300000</v>
      </c>
      <c r="H66" s="26">
        <f>ROUND(G66/요율기준!$B$14,0)</f>
        <v>20574</v>
      </c>
      <c r="I66" s="27">
        <v>8</v>
      </c>
      <c r="J66" s="27">
        <v>4</v>
      </c>
      <c r="K66" s="14">
        <v>350000</v>
      </c>
      <c r="L66" s="26">
        <f>ROUND(H66*요율기준!$B$15*I66,0)</f>
        <v>246888</v>
      </c>
      <c r="M66" s="26">
        <f>ROUND(H66*요율기준!$B$16*J66,0)</f>
        <v>41148</v>
      </c>
      <c r="N66" s="14">
        <v>200000</v>
      </c>
      <c r="O66" s="14">
        <v>100000</v>
      </c>
      <c r="P66" s="14">
        <v>100000</v>
      </c>
      <c r="Q66" s="14">
        <v>100000</v>
      </c>
      <c r="R66" s="14">
        <v>200000</v>
      </c>
      <c r="S66" s="14">
        <v>200000</v>
      </c>
      <c r="T66" s="28">
        <f t="shared" si="1"/>
        <v>5838036</v>
      </c>
      <c r="U66" s="26">
        <f>Q66+MIN(R66,요율기준!$B$17)+MIN(S66,요율기준!$B$18)</f>
        <v>500000</v>
      </c>
      <c r="V66" s="28">
        <f t="shared" si="2"/>
        <v>5338036</v>
      </c>
      <c r="W66" s="29">
        <f>'4대보험'!F66</f>
        <v>240210</v>
      </c>
      <c r="X66" s="29">
        <f>'4대보험'!H66</f>
        <v>189230</v>
      </c>
      <c r="Y66" s="29">
        <f>'4대보험'!J66</f>
        <v>24500</v>
      </c>
      <c r="Z66" s="29">
        <f>'4대보험'!L66</f>
        <v>48040</v>
      </c>
      <c r="AA66" s="29">
        <f>세금!P66</f>
        <v>353230</v>
      </c>
      <c r="AB66" s="29">
        <f>세금!Q66</f>
        <v>35320</v>
      </c>
      <c r="AC66" s="14">
        <v>0</v>
      </c>
      <c r="AD66" s="28">
        <f t="shared" si="3"/>
        <v>890530</v>
      </c>
      <c r="AE66" s="28">
        <f t="shared" si="4"/>
        <v>4947506</v>
      </c>
    </row>
    <row r="67" spans="1:31" x14ac:dyDescent="0.4">
      <c r="A67" s="23">
        <v>46082</v>
      </c>
      <c r="B67" s="17">
        <v>6</v>
      </c>
      <c r="C67" s="24" t="str">
        <f>직원정보!B10</f>
        <v>S0006</v>
      </c>
      <c r="D67" s="25" t="str">
        <f>직원정보!C10</f>
        <v>바다별</v>
      </c>
      <c r="E67" s="24" t="str">
        <f>직원정보!D10</f>
        <v>C&amp;S 1팀</v>
      </c>
      <c r="F67" s="24" t="str">
        <f>직원정보!E10</f>
        <v>부장</v>
      </c>
      <c r="G67" s="14">
        <v>4300000</v>
      </c>
      <c r="H67" s="26">
        <f>ROUND(G67/요율기준!$B$14,0)</f>
        <v>20574</v>
      </c>
      <c r="I67" s="27">
        <v>13</v>
      </c>
      <c r="J67" s="27">
        <v>7</v>
      </c>
      <c r="K67" s="14">
        <v>350000</v>
      </c>
      <c r="L67" s="26">
        <f>ROUND(H67*요율기준!$B$15*I67,0)</f>
        <v>401193</v>
      </c>
      <c r="M67" s="26">
        <f>ROUND(H67*요율기준!$B$16*J67,0)</f>
        <v>72009</v>
      </c>
      <c r="N67" s="14">
        <v>200000</v>
      </c>
      <c r="O67" s="14">
        <v>100000</v>
      </c>
      <c r="P67" s="14">
        <v>100000</v>
      </c>
      <c r="Q67" s="14">
        <v>100000</v>
      </c>
      <c r="R67" s="14">
        <v>200000</v>
      </c>
      <c r="S67" s="14">
        <v>200000</v>
      </c>
      <c r="T67" s="28">
        <f t="shared" si="1"/>
        <v>6023202</v>
      </c>
      <c r="U67" s="26">
        <f>Q67+MIN(R67,요율기준!$B$17)+MIN(S67,요율기준!$B$18)</f>
        <v>500000</v>
      </c>
      <c r="V67" s="28">
        <f t="shared" si="2"/>
        <v>5523202</v>
      </c>
      <c r="W67" s="29">
        <f>'4대보험'!F67</f>
        <v>248540</v>
      </c>
      <c r="X67" s="29">
        <f>'4대보험'!H67</f>
        <v>195790</v>
      </c>
      <c r="Y67" s="29">
        <f>'4대보험'!J67</f>
        <v>25350</v>
      </c>
      <c r="Z67" s="29">
        <f>'4대보험'!L67</f>
        <v>49700</v>
      </c>
      <c r="AA67" s="29">
        <f>세금!P67</f>
        <v>377260</v>
      </c>
      <c r="AB67" s="29">
        <f>세금!Q67</f>
        <v>37720</v>
      </c>
      <c r="AC67" s="14">
        <v>0</v>
      </c>
      <c r="AD67" s="28">
        <f t="shared" si="3"/>
        <v>934360</v>
      </c>
      <c r="AE67" s="28">
        <f t="shared" si="4"/>
        <v>5088842</v>
      </c>
    </row>
    <row r="68" spans="1:31" x14ac:dyDescent="0.4">
      <c r="A68" s="23">
        <v>46113</v>
      </c>
      <c r="B68" s="17">
        <v>6</v>
      </c>
      <c r="C68" s="24" t="str">
        <f>직원정보!B10</f>
        <v>S0006</v>
      </c>
      <c r="D68" s="25" t="str">
        <f>직원정보!C10</f>
        <v>바다별</v>
      </c>
      <c r="E68" s="24" t="str">
        <f>직원정보!D10</f>
        <v>C&amp;S 1팀</v>
      </c>
      <c r="F68" s="24" t="str">
        <f>직원정보!E10</f>
        <v>부장</v>
      </c>
      <c r="G68" s="14">
        <v>4300000</v>
      </c>
      <c r="H68" s="26">
        <f>ROUND(G68/요율기준!$B$14,0)</f>
        <v>20574</v>
      </c>
      <c r="I68" s="27">
        <v>18</v>
      </c>
      <c r="J68" s="27">
        <v>10</v>
      </c>
      <c r="K68" s="14">
        <v>350000</v>
      </c>
      <c r="L68" s="26">
        <f>ROUND(H68*요율기준!$B$15*I68,0)</f>
        <v>555498</v>
      </c>
      <c r="M68" s="26">
        <f>ROUND(H68*요율기준!$B$16*J68,0)</f>
        <v>102870</v>
      </c>
      <c r="N68" s="14">
        <v>200000</v>
      </c>
      <c r="O68" s="14">
        <v>100000</v>
      </c>
      <c r="P68" s="14">
        <v>100000</v>
      </c>
      <c r="Q68" s="14">
        <v>100000</v>
      </c>
      <c r="R68" s="14">
        <v>200000</v>
      </c>
      <c r="S68" s="14">
        <v>200000</v>
      </c>
      <c r="T68" s="28">
        <f t="shared" si="1"/>
        <v>6208368</v>
      </c>
      <c r="U68" s="26">
        <f>Q68+MIN(R68,요율기준!$B$17)+MIN(S68,요율기준!$B$18)</f>
        <v>500000</v>
      </c>
      <c r="V68" s="28">
        <f t="shared" si="2"/>
        <v>5708368</v>
      </c>
      <c r="W68" s="29">
        <f>'4대보험'!F68</f>
        <v>256870</v>
      </c>
      <c r="X68" s="29">
        <f>'4대보험'!H68</f>
        <v>202360</v>
      </c>
      <c r="Y68" s="29">
        <f>'4대보험'!J68</f>
        <v>26200</v>
      </c>
      <c r="Z68" s="29">
        <f>'4대보험'!L68</f>
        <v>51370</v>
      </c>
      <c r="AA68" s="29">
        <f>세금!P68</f>
        <v>401280</v>
      </c>
      <c r="AB68" s="29">
        <f>세금!Q68</f>
        <v>40120</v>
      </c>
      <c r="AC68" s="14">
        <v>0</v>
      </c>
      <c r="AD68" s="28">
        <f t="shared" si="3"/>
        <v>978200</v>
      </c>
      <c r="AE68" s="28">
        <f t="shared" si="4"/>
        <v>5230168</v>
      </c>
    </row>
    <row r="69" spans="1:31" x14ac:dyDescent="0.4">
      <c r="A69" s="23">
        <v>46143</v>
      </c>
      <c r="B69" s="17">
        <v>6</v>
      </c>
      <c r="C69" s="24" t="str">
        <f>직원정보!B10</f>
        <v>S0006</v>
      </c>
      <c r="D69" s="25" t="str">
        <f>직원정보!C10</f>
        <v>바다별</v>
      </c>
      <c r="E69" s="24" t="str">
        <f>직원정보!D10</f>
        <v>C&amp;S 1팀</v>
      </c>
      <c r="F69" s="24" t="str">
        <f>직원정보!E10</f>
        <v>부장</v>
      </c>
      <c r="G69" s="14">
        <v>4300000</v>
      </c>
      <c r="H69" s="26">
        <f>ROUND(G69/요율기준!$B$14,0)</f>
        <v>20574</v>
      </c>
      <c r="I69" s="27">
        <v>23</v>
      </c>
      <c r="J69" s="27">
        <v>1</v>
      </c>
      <c r="K69" s="14">
        <v>350000</v>
      </c>
      <c r="L69" s="26">
        <f>ROUND(H69*요율기준!$B$15*I69,0)</f>
        <v>709803</v>
      </c>
      <c r="M69" s="26">
        <f>ROUND(H69*요율기준!$B$16*J69,0)</f>
        <v>10287</v>
      </c>
      <c r="N69" s="14">
        <v>200000</v>
      </c>
      <c r="O69" s="14">
        <v>100000</v>
      </c>
      <c r="P69" s="14">
        <v>100000</v>
      </c>
      <c r="Q69" s="14">
        <v>100000</v>
      </c>
      <c r="R69" s="14">
        <v>200000</v>
      </c>
      <c r="S69" s="14">
        <v>200000</v>
      </c>
      <c r="T69" s="28">
        <f t="shared" ref="T69:T132" si="5">G69+K69+L69+M69+N69+O69+P69+Q69+R69+S69</f>
        <v>6270090</v>
      </c>
      <c r="U69" s="26">
        <f>Q69+MIN(R69,요율기준!$B$17)+MIN(S69,요율기준!$B$18)</f>
        <v>500000</v>
      </c>
      <c r="V69" s="28">
        <f t="shared" ref="V69:V132" si="6">T69-U69</f>
        <v>5770090</v>
      </c>
      <c r="W69" s="29">
        <f>'4대보험'!F69</f>
        <v>259650</v>
      </c>
      <c r="X69" s="29">
        <f>'4대보험'!H69</f>
        <v>204540</v>
      </c>
      <c r="Y69" s="29">
        <f>'4대보험'!J69</f>
        <v>26480</v>
      </c>
      <c r="Z69" s="29">
        <f>'4대보험'!L69</f>
        <v>51930</v>
      </c>
      <c r="AA69" s="29">
        <f>세금!P69</f>
        <v>409290</v>
      </c>
      <c r="AB69" s="29">
        <f>세금!Q69</f>
        <v>40920</v>
      </c>
      <c r="AC69" s="14">
        <v>0</v>
      </c>
      <c r="AD69" s="28">
        <f t="shared" ref="AD69:AD132" si="7">SUM(W69:AC69)</f>
        <v>992810</v>
      </c>
      <c r="AE69" s="28">
        <f t="shared" ref="AE69:AE132" si="8">T69-AD69</f>
        <v>5277280</v>
      </c>
    </row>
    <row r="70" spans="1:31" x14ac:dyDescent="0.4">
      <c r="A70" s="23">
        <v>46174</v>
      </c>
      <c r="B70" s="17">
        <v>6</v>
      </c>
      <c r="C70" s="24" t="str">
        <f>직원정보!B10</f>
        <v>S0006</v>
      </c>
      <c r="D70" s="25" t="str">
        <f>직원정보!C10</f>
        <v>바다별</v>
      </c>
      <c r="E70" s="24" t="str">
        <f>직원정보!D10</f>
        <v>C&amp;S 1팀</v>
      </c>
      <c r="F70" s="24" t="str">
        <f>직원정보!E10</f>
        <v>부장</v>
      </c>
      <c r="G70" s="14">
        <v>4300000</v>
      </c>
      <c r="H70" s="26">
        <f>ROUND(G70/요율기준!$B$14,0)</f>
        <v>20574</v>
      </c>
      <c r="I70" s="27">
        <v>28</v>
      </c>
      <c r="J70" s="27">
        <v>4</v>
      </c>
      <c r="K70" s="14">
        <v>350000</v>
      </c>
      <c r="L70" s="26">
        <f>ROUND(H70*요율기준!$B$15*I70,0)</f>
        <v>864108</v>
      </c>
      <c r="M70" s="26">
        <f>ROUND(H70*요율기준!$B$16*J70,0)</f>
        <v>41148</v>
      </c>
      <c r="N70" s="14">
        <v>200000</v>
      </c>
      <c r="O70" s="14">
        <v>100000</v>
      </c>
      <c r="P70" s="14">
        <v>100000</v>
      </c>
      <c r="Q70" s="14">
        <v>100000</v>
      </c>
      <c r="R70" s="14">
        <v>200000</v>
      </c>
      <c r="S70" s="14">
        <v>200000</v>
      </c>
      <c r="T70" s="28">
        <f t="shared" si="5"/>
        <v>6455256</v>
      </c>
      <c r="U70" s="26">
        <f>Q70+MIN(R70,요율기준!$B$17)+MIN(S70,요율기준!$B$18)</f>
        <v>500000</v>
      </c>
      <c r="V70" s="28">
        <f t="shared" si="6"/>
        <v>5955256</v>
      </c>
      <c r="W70" s="29">
        <f>'4대보험'!F70</f>
        <v>267980</v>
      </c>
      <c r="X70" s="29">
        <f>'4대보험'!H70</f>
        <v>211110</v>
      </c>
      <c r="Y70" s="29">
        <f>'4대보험'!J70</f>
        <v>27330</v>
      </c>
      <c r="Z70" s="29">
        <f>'4대보험'!L70</f>
        <v>53590</v>
      </c>
      <c r="AA70" s="29">
        <f>세금!P70</f>
        <v>446650</v>
      </c>
      <c r="AB70" s="29">
        <f>세금!Q70</f>
        <v>44660</v>
      </c>
      <c r="AC70" s="14">
        <v>0</v>
      </c>
      <c r="AD70" s="28">
        <f t="shared" si="7"/>
        <v>1051320</v>
      </c>
      <c r="AE70" s="28">
        <f t="shared" si="8"/>
        <v>5403936</v>
      </c>
    </row>
    <row r="71" spans="1:31" x14ac:dyDescent="0.4">
      <c r="A71" s="23">
        <v>46204</v>
      </c>
      <c r="B71" s="17">
        <v>6</v>
      </c>
      <c r="C71" s="24" t="str">
        <f>직원정보!B10</f>
        <v>S0006</v>
      </c>
      <c r="D71" s="25" t="str">
        <f>직원정보!C10</f>
        <v>바다별</v>
      </c>
      <c r="E71" s="24" t="str">
        <f>직원정보!D10</f>
        <v>C&amp;S 1팀</v>
      </c>
      <c r="F71" s="24" t="str">
        <f>직원정보!E10</f>
        <v>부장</v>
      </c>
      <c r="G71" s="14">
        <v>4300000</v>
      </c>
      <c r="H71" s="26">
        <f>ROUND(G71/요율기준!$B$14,0)</f>
        <v>20574</v>
      </c>
      <c r="I71" s="27">
        <v>8</v>
      </c>
      <c r="J71" s="27">
        <v>7</v>
      </c>
      <c r="K71" s="14">
        <v>350000</v>
      </c>
      <c r="L71" s="26">
        <f>ROUND(H71*요율기준!$B$15*I71,0)</f>
        <v>246888</v>
      </c>
      <c r="M71" s="26">
        <f>ROUND(H71*요율기준!$B$16*J71,0)</f>
        <v>72009</v>
      </c>
      <c r="N71" s="14">
        <v>200000</v>
      </c>
      <c r="O71" s="14">
        <v>100000</v>
      </c>
      <c r="P71" s="14">
        <v>100000</v>
      </c>
      <c r="Q71" s="14">
        <v>100000</v>
      </c>
      <c r="R71" s="14">
        <v>200000</v>
      </c>
      <c r="S71" s="14">
        <v>200000</v>
      </c>
      <c r="T71" s="28">
        <f t="shared" si="5"/>
        <v>5868897</v>
      </c>
      <c r="U71" s="26">
        <f>Q71+MIN(R71,요율기준!$B$17)+MIN(S71,요율기준!$B$18)</f>
        <v>500000</v>
      </c>
      <c r="V71" s="28">
        <f t="shared" si="6"/>
        <v>5368897</v>
      </c>
      <c r="W71" s="29">
        <f>'4대보험'!F71</f>
        <v>241600</v>
      </c>
      <c r="X71" s="29">
        <f>'4대보험'!H71</f>
        <v>190320</v>
      </c>
      <c r="Y71" s="29">
        <f>'4대보험'!J71</f>
        <v>24640</v>
      </c>
      <c r="Z71" s="29">
        <f>'4대보험'!L71</f>
        <v>48320</v>
      </c>
      <c r="AA71" s="29">
        <f>세금!P71</f>
        <v>357230</v>
      </c>
      <c r="AB71" s="29">
        <f>세금!Q71</f>
        <v>35720</v>
      </c>
      <c r="AC71" s="14">
        <v>0</v>
      </c>
      <c r="AD71" s="28">
        <f t="shared" si="7"/>
        <v>897830</v>
      </c>
      <c r="AE71" s="28">
        <f t="shared" si="8"/>
        <v>4971067</v>
      </c>
    </row>
    <row r="72" spans="1:31" x14ac:dyDescent="0.4">
      <c r="A72" s="23">
        <v>46235</v>
      </c>
      <c r="B72" s="17">
        <v>6</v>
      </c>
      <c r="C72" s="24" t="str">
        <f>직원정보!B10</f>
        <v>S0006</v>
      </c>
      <c r="D72" s="25" t="str">
        <f>직원정보!C10</f>
        <v>바다별</v>
      </c>
      <c r="E72" s="24" t="str">
        <f>직원정보!D10</f>
        <v>C&amp;S 1팀</v>
      </c>
      <c r="F72" s="24" t="str">
        <f>직원정보!E10</f>
        <v>부장</v>
      </c>
      <c r="G72" s="14">
        <v>4300000</v>
      </c>
      <c r="H72" s="26">
        <f>ROUND(G72/요율기준!$B$14,0)</f>
        <v>20574</v>
      </c>
      <c r="I72" s="27">
        <v>13</v>
      </c>
      <c r="J72" s="27">
        <v>10</v>
      </c>
      <c r="K72" s="14">
        <v>350000</v>
      </c>
      <c r="L72" s="26">
        <f>ROUND(H72*요율기준!$B$15*I72,0)</f>
        <v>401193</v>
      </c>
      <c r="M72" s="26">
        <f>ROUND(H72*요율기준!$B$16*J72,0)</f>
        <v>102870</v>
      </c>
      <c r="N72" s="14">
        <v>200000</v>
      </c>
      <c r="O72" s="14">
        <v>100000</v>
      </c>
      <c r="P72" s="14">
        <v>100000</v>
      </c>
      <c r="Q72" s="14">
        <v>100000</v>
      </c>
      <c r="R72" s="14">
        <v>200000</v>
      </c>
      <c r="S72" s="14">
        <v>200000</v>
      </c>
      <c r="T72" s="28">
        <f t="shared" si="5"/>
        <v>6054063</v>
      </c>
      <c r="U72" s="26">
        <f>Q72+MIN(R72,요율기준!$B$17)+MIN(S72,요율기준!$B$18)</f>
        <v>500000</v>
      </c>
      <c r="V72" s="28">
        <f t="shared" si="6"/>
        <v>5554063</v>
      </c>
      <c r="W72" s="29">
        <f>'4대보험'!F72</f>
        <v>249930</v>
      </c>
      <c r="X72" s="29">
        <f>'4대보험'!H72</f>
        <v>196890</v>
      </c>
      <c r="Y72" s="29">
        <f>'4대보험'!J72</f>
        <v>25490</v>
      </c>
      <c r="Z72" s="29">
        <f>'4대보험'!L72</f>
        <v>49980</v>
      </c>
      <c r="AA72" s="29">
        <f>세금!P72</f>
        <v>381260</v>
      </c>
      <c r="AB72" s="29">
        <f>세금!Q72</f>
        <v>38120</v>
      </c>
      <c r="AC72" s="14">
        <v>0</v>
      </c>
      <c r="AD72" s="28">
        <f t="shared" si="7"/>
        <v>941670</v>
      </c>
      <c r="AE72" s="28">
        <f t="shared" si="8"/>
        <v>5112393</v>
      </c>
    </row>
    <row r="73" spans="1:31" x14ac:dyDescent="0.4">
      <c r="A73" s="23">
        <v>46266</v>
      </c>
      <c r="B73" s="17">
        <v>6</v>
      </c>
      <c r="C73" s="24" t="str">
        <f>직원정보!B10</f>
        <v>S0006</v>
      </c>
      <c r="D73" s="25" t="str">
        <f>직원정보!C10</f>
        <v>바다별</v>
      </c>
      <c r="E73" s="24" t="str">
        <f>직원정보!D10</f>
        <v>C&amp;S 1팀</v>
      </c>
      <c r="F73" s="24" t="str">
        <f>직원정보!E10</f>
        <v>부장</v>
      </c>
      <c r="G73" s="14">
        <v>4300000</v>
      </c>
      <c r="H73" s="26">
        <f>ROUND(G73/요율기준!$B$14,0)</f>
        <v>20574</v>
      </c>
      <c r="I73" s="27">
        <v>18</v>
      </c>
      <c r="J73" s="27">
        <v>1</v>
      </c>
      <c r="K73" s="14">
        <v>350000</v>
      </c>
      <c r="L73" s="26">
        <f>ROUND(H73*요율기준!$B$15*I73,0)</f>
        <v>555498</v>
      </c>
      <c r="M73" s="26">
        <f>ROUND(H73*요율기준!$B$16*J73,0)</f>
        <v>10287</v>
      </c>
      <c r="N73" s="14">
        <v>200000</v>
      </c>
      <c r="O73" s="14">
        <v>100000</v>
      </c>
      <c r="P73" s="14">
        <v>100000</v>
      </c>
      <c r="Q73" s="14">
        <v>100000</v>
      </c>
      <c r="R73" s="14">
        <v>200000</v>
      </c>
      <c r="S73" s="14">
        <v>200000</v>
      </c>
      <c r="T73" s="28">
        <f t="shared" si="5"/>
        <v>6115785</v>
      </c>
      <c r="U73" s="26">
        <f>Q73+MIN(R73,요율기준!$B$17)+MIN(S73,요율기준!$B$18)</f>
        <v>500000</v>
      </c>
      <c r="V73" s="28">
        <f t="shared" si="6"/>
        <v>5615785</v>
      </c>
      <c r="W73" s="29">
        <f>'4대보험'!F73</f>
        <v>252710</v>
      </c>
      <c r="X73" s="29">
        <f>'4대보험'!H73</f>
        <v>199070</v>
      </c>
      <c r="Y73" s="29">
        <f>'4대보험'!J73</f>
        <v>25770</v>
      </c>
      <c r="Z73" s="29">
        <f>'4대보험'!L73</f>
        <v>50540</v>
      </c>
      <c r="AA73" s="29">
        <f>세금!P73</f>
        <v>389270</v>
      </c>
      <c r="AB73" s="29">
        <f>세금!Q73</f>
        <v>38920</v>
      </c>
      <c r="AC73" s="14">
        <v>0</v>
      </c>
      <c r="AD73" s="28">
        <f t="shared" si="7"/>
        <v>956280</v>
      </c>
      <c r="AE73" s="28">
        <f t="shared" si="8"/>
        <v>5159505</v>
      </c>
    </row>
    <row r="74" spans="1:31" x14ac:dyDescent="0.4">
      <c r="A74" s="23">
        <v>46296</v>
      </c>
      <c r="B74" s="17">
        <v>6</v>
      </c>
      <c r="C74" s="24" t="str">
        <f>직원정보!B10</f>
        <v>S0006</v>
      </c>
      <c r="D74" s="25" t="str">
        <f>직원정보!C10</f>
        <v>바다별</v>
      </c>
      <c r="E74" s="24" t="str">
        <f>직원정보!D10</f>
        <v>C&amp;S 1팀</v>
      </c>
      <c r="F74" s="24" t="str">
        <f>직원정보!E10</f>
        <v>부장</v>
      </c>
      <c r="G74" s="14">
        <v>4300000</v>
      </c>
      <c r="H74" s="26">
        <f>ROUND(G74/요율기준!$B$14,0)</f>
        <v>20574</v>
      </c>
      <c r="I74" s="27">
        <v>23</v>
      </c>
      <c r="J74" s="27">
        <v>4</v>
      </c>
      <c r="K74" s="14">
        <v>350000</v>
      </c>
      <c r="L74" s="26">
        <f>ROUND(H74*요율기준!$B$15*I74,0)</f>
        <v>709803</v>
      </c>
      <c r="M74" s="26">
        <f>ROUND(H74*요율기준!$B$16*J74,0)</f>
        <v>41148</v>
      </c>
      <c r="N74" s="14">
        <v>200000</v>
      </c>
      <c r="O74" s="14">
        <v>100000</v>
      </c>
      <c r="P74" s="14">
        <v>100000</v>
      </c>
      <c r="Q74" s="14">
        <v>100000</v>
      </c>
      <c r="R74" s="14">
        <v>200000</v>
      </c>
      <c r="S74" s="14">
        <v>200000</v>
      </c>
      <c r="T74" s="28">
        <f t="shared" si="5"/>
        <v>6300951</v>
      </c>
      <c r="U74" s="26">
        <f>Q74+MIN(R74,요율기준!$B$17)+MIN(S74,요율기준!$B$18)</f>
        <v>500000</v>
      </c>
      <c r="V74" s="28">
        <f t="shared" si="6"/>
        <v>5800951</v>
      </c>
      <c r="W74" s="29">
        <f>'4대보험'!F74</f>
        <v>261040</v>
      </c>
      <c r="X74" s="29">
        <f>'4대보험'!H74</f>
        <v>205640</v>
      </c>
      <c r="Y74" s="29">
        <f>'4대보험'!J74</f>
        <v>26630</v>
      </c>
      <c r="Z74" s="29">
        <f>'4대보험'!L74</f>
        <v>52200</v>
      </c>
      <c r="AA74" s="29">
        <f>세금!P74</f>
        <v>413290</v>
      </c>
      <c r="AB74" s="29">
        <f>세금!Q74</f>
        <v>41320</v>
      </c>
      <c r="AC74" s="14">
        <v>0</v>
      </c>
      <c r="AD74" s="28">
        <f t="shared" si="7"/>
        <v>1000120</v>
      </c>
      <c r="AE74" s="28">
        <f t="shared" si="8"/>
        <v>5300831</v>
      </c>
    </row>
    <row r="75" spans="1:31" x14ac:dyDescent="0.4">
      <c r="A75" s="23">
        <v>46327</v>
      </c>
      <c r="B75" s="17">
        <v>6</v>
      </c>
      <c r="C75" s="24" t="str">
        <f>직원정보!B10</f>
        <v>S0006</v>
      </c>
      <c r="D75" s="25" t="str">
        <f>직원정보!C10</f>
        <v>바다별</v>
      </c>
      <c r="E75" s="24" t="str">
        <f>직원정보!D10</f>
        <v>C&amp;S 1팀</v>
      </c>
      <c r="F75" s="24" t="str">
        <f>직원정보!E10</f>
        <v>부장</v>
      </c>
      <c r="G75" s="14">
        <v>4300000</v>
      </c>
      <c r="H75" s="26">
        <f>ROUND(G75/요율기준!$B$14,0)</f>
        <v>20574</v>
      </c>
      <c r="I75" s="27">
        <v>28</v>
      </c>
      <c r="J75" s="27">
        <v>7</v>
      </c>
      <c r="K75" s="14">
        <v>350000</v>
      </c>
      <c r="L75" s="26">
        <f>ROUND(H75*요율기준!$B$15*I75,0)</f>
        <v>864108</v>
      </c>
      <c r="M75" s="26">
        <f>ROUND(H75*요율기준!$B$16*J75,0)</f>
        <v>72009</v>
      </c>
      <c r="N75" s="14">
        <v>200000</v>
      </c>
      <c r="O75" s="14">
        <v>100000</v>
      </c>
      <c r="P75" s="14">
        <v>100000</v>
      </c>
      <c r="Q75" s="14">
        <v>100000</v>
      </c>
      <c r="R75" s="14">
        <v>200000</v>
      </c>
      <c r="S75" s="14">
        <v>200000</v>
      </c>
      <c r="T75" s="28">
        <f t="shared" si="5"/>
        <v>6486117</v>
      </c>
      <c r="U75" s="26">
        <f>Q75+MIN(R75,요율기준!$B$17)+MIN(S75,요율기준!$B$18)</f>
        <v>500000</v>
      </c>
      <c r="V75" s="28">
        <f t="shared" si="6"/>
        <v>5986117</v>
      </c>
      <c r="W75" s="29">
        <f>'4대보험'!F75</f>
        <v>269370</v>
      </c>
      <c r="X75" s="29">
        <f>'4대보험'!H75</f>
        <v>212200</v>
      </c>
      <c r="Y75" s="29">
        <f>'4대보험'!J75</f>
        <v>27470</v>
      </c>
      <c r="Z75" s="29">
        <f>'4대보험'!L75</f>
        <v>53870</v>
      </c>
      <c r="AA75" s="29">
        <f>세금!P75</f>
        <v>450650</v>
      </c>
      <c r="AB75" s="29">
        <f>세금!Q75</f>
        <v>45060</v>
      </c>
      <c r="AC75" s="14">
        <v>0</v>
      </c>
      <c r="AD75" s="28">
        <f t="shared" si="7"/>
        <v>1058620</v>
      </c>
      <c r="AE75" s="28">
        <f t="shared" si="8"/>
        <v>5427497</v>
      </c>
    </row>
    <row r="76" spans="1:31" x14ac:dyDescent="0.4">
      <c r="A76" s="23">
        <v>46357</v>
      </c>
      <c r="B76" s="17">
        <v>6</v>
      </c>
      <c r="C76" s="24" t="str">
        <f>직원정보!B10</f>
        <v>S0006</v>
      </c>
      <c r="D76" s="25" t="str">
        <f>직원정보!C10</f>
        <v>바다별</v>
      </c>
      <c r="E76" s="24" t="str">
        <f>직원정보!D10</f>
        <v>C&amp;S 1팀</v>
      </c>
      <c r="F76" s="24" t="str">
        <f>직원정보!E10</f>
        <v>부장</v>
      </c>
      <c r="G76" s="14">
        <v>4300000</v>
      </c>
      <c r="H76" s="26">
        <f>ROUND(G76/요율기준!$B$14,0)</f>
        <v>20574</v>
      </c>
      <c r="I76" s="27">
        <v>8</v>
      </c>
      <c r="J76" s="27">
        <v>10</v>
      </c>
      <c r="K76" s="14">
        <v>350000</v>
      </c>
      <c r="L76" s="26">
        <f>ROUND(H76*요율기준!$B$15*I76,0)</f>
        <v>246888</v>
      </c>
      <c r="M76" s="26">
        <f>ROUND(H76*요율기준!$B$16*J76,0)</f>
        <v>102870</v>
      </c>
      <c r="N76" s="14">
        <v>200000</v>
      </c>
      <c r="O76" s="14">
        <v>100000</v>
      </c>
      <c r="P76" s="14">
        <v>100000</v>
      </c>
      <c r="Q76" s="14">
        <v>100000</v>
      </c>
      <c r="R76" s="14">
        <v>200000</v>
      </c>
      <c r="S76" s="14">
        <v>200000</v>
      </c>
      <c r="T76" s="28">
        <f t="shared" si="5"/>
        <v>5899758</v>
      </c>
      <c r="U76" s="26">
        <f>Q76+MIN(R76,요율기준!$B$17)+MIN(S76,요율기준!$B$18)</f>
        <v>500000</v>
      </c>
      <c r="V76" s="28">
        <f t="shared" si="6"/>
        <v>5399758</v>
      </c>
      <c r="W76" s="29">
        <f>'4대보험'!F76</f>
        <v>242980</v>
      </c>
      <c r="X76" s="29">
        <f>'4대보험'!H76</f>
        <v>191420</v>
      </c>
      <c r="Y76" s="29">
        <f>'4대보험'!J76</f>
        <v>24780</v>
      </c>
      <c r="Z76" s="29">
        <f>'4대보험'!L76</f>
        <v>48590</v>
      </c>
      <c r="AA76" s="29">
        <f>세금!P76</f>
        <v>361240</v>
      </c>
      <c r="AB76" s="29">
        <f>세금!Q76</f>
        <v>36120</v>
      </c>
      <c r="AC76" s="14">
        <v>0</v>
      </c>
      <c r="AD76" s="28">
        <f t="shared" si="7"/>
        <v>905130</v>
      </c>
      <c r="AE76" s="28">
        <f t="shared" si="8"/>
        <v>4994628</v>
      </c>
    </row>
    <row r="77" spans="1:31" x14ac:dyDescent="0.4">
      <c r="A77" s="23">
        <v>46023</v>
      </c>
      <c r="B77" s="17">
        <v>7</v>
      </c>
      <c r="C77" s="24" t="str">
        <f>직원정보!B11</f>
        <v>S0007</v>
      </c>
      <c r="D77" s="25" t="str">
        <f>직원정보!C11</f>
        <v>사랑비</v>
      </c>
      <c r="E77" s="24" t="str">
        <f>직원정보!D11</f>
        <v>C&amp;S 2팀</v>
      </c>
      <c r="F77" s="24" t="str">
        <f>직원정보!E11</f>
        <v>차장</v>
      </c>
      <c r="G77" s="14">
        <v>3900000</v>
      </c>
      <c r="H77" s="26">
        <f>ROUND(G77/요율기준!$B$14,0)</f>
        <v>18660</v>
      </c>
      <c r="I77" s="27">
        <v>31</v>
      </c>
      <c r="J77" s="27">
        <v>3</v>
      </c>
      <c r="K77" s="14">
        <v>320000</v>
      </c>
      <c r="L77" s="26">
        <f>ROUND(H77*요율기준!$B$15*I77,0)</f>
        <v>867690</v>
      </c>
      <c r="M77" s="26">
        <f>ROUND(H77*요율기준!$B$16*J77,0)</f>
        <v>27990</v>
      </c>
      <c r="N77" s="14">
        <v>150000</v>
      </c>
      <c r="O77" s="14">
        <v>100000</v>
      </c>
      <c r="P77" s="14">
        <v>0</v>
      </c>
      <c r="Q77" s="14">
        <v>100000</v>
      </c>
      <c r="R77" s="14">
        <v>200000</v>
      </c>
      <c r="S77" s="14">
        <v>200000</v>
      </c>
      <c r="T77" s="28">
        <f t="shared" si="5"/>
        <v>5865680</v>
      </c>
      <c r="U77" s="26">
        <f>Q77+MIN(R77,요율기준!$B$17)+MIN(S77,요율기준!$B$18)</f>
        <v>500000</v>
      </c>
      <c r="V77" s="28">
        <f t="shared" si="6"/>
        <v>5365680</v>
      </c>
      <c r="W77" s="29">
        <f>'4대보험'!F77</f>
        <v>241450</v>
      </c>
      <c r="X77" s="29">
        <f>'4대보험'!H77</f>
        <v>190210</v>
      </c>
      <c r="Y77" s="29">
        <f>'4대보험'!J77</f>
        <v>24630</v>
      </c>
      <c r="Z77" s="29">
        <f>'4대보험'!L77</f>
        <v>48290</v>
      </c>
      <c r="AA77" s="29">
        <f>세금!P77</f>
        <v>356820</v>
      </c>
      <c r="AB77" s="29">
        <f>세금!Q77</f>
        <v>35680</v>
      </c>
      <c r="AC77" s="14">
        <v>0</v>
      </c>
      <c r="AD77" s="28">
        <f t="shared" si="7"/>
        <v>897080</v>
      </c>
      <c r="AE77" s="28">
        <f t="shared" si="8"/>
        <v>4968600</v>
      </c>
    </row>
    <row r="78" spans="1:31" x14ac:dyDescent="0.4">
      <c r="A78" s="23">
        <v>46054</v>
      </c>
      <c r="B78" s="17">
        <v>7</v>
      </c>
      <c r="C78" s="24" t="str">
        <f>직원정보!B11</f>
        <v>S0007</v>
      </c>
      <c r="D78" s="25" t="str">
        <f>직원정보!C11</f>
        <v>사랑비</v>
      </c>
      <c r="E78" s="24" t="str">
        <f>직원정보!D11</f>
        <v>C&amp;S 2팀</v>
      </c>
      <c r="F78" s="24" t="str">
        <f>직원정보!E11</f>
        <v>차장</v>
      </c>
      <c r="G78" s="14">
        <v>3900000</v>
      </c>
      <c r="H78" s="26">
        <f>ROUND(G78/요율기준!$B$14,0)</f>
        <v>18660</v>
      </c>
      <c r="I78" s="27">
        <v>11</v>
      </c>
      <c r="J78" s="27">
        <v>6</v>
      </c>
      <c r="K78" s="14">
        <v>320000</v>
      </c>
      <c r="L78" s="26">
        <f>ROUND(H78*요율기준!$B$15*I78,0)</f>
        <v>307890</v>
      </c>
      <c r="M78" s="26">
        <f>ROUND(H78*요율기준!$B$16*J78,0)</f>
        <v>55980</v>
      </c>
      <c r="N78" s="14">
        <v>150000</v>
      </c>
      <c r="O78" s="14">
        <v>100000</v>
      </c>
      <c r="P78" s="14">
        <v>0</v>
      </c>
      <c r="Q78" s="14">
        <v>100000</v>
      </c>
      <c r="R78" s="14">
        <v>200000</v>
      </c>
      <c r="S78" s="14">
        <v>200000</v>
      </c>
      <c r="T78" s="28">
        <f t="shared" si="5"/>
        <v>5333870</v>
      </c>
      <c r="U78" s="26">
        <f>Q78+MIN(R78,요율기준!$B$17)+MIN(S78,요율기준!$B$18)</f>
        <v>500000</v>
      </c>
      <c r="V78" s="28">
        <f t="shared" si="6"/>
        <v>4833870</v>
      </c>
      <c r="W78" s="29">
        <f>'4대보험'!F78</f>
        <v>217520</v>
      </c>
      <c r="X78" s="29">
        <f>'4대보험'!H78</f>
        <v>171360</v>
      </c>
      <c r="Y78" s="29">
        <f>'4대보험'!J78</f>
        <v>22190</v>
      </c>
      <c r="Z78" s="29">
        <f>'4대보험'!L78</f>
        <v>43500</v>
      </c>
      <c r="AA78" s="29">
        <f>세금!P78</f>
        <v>287820</v>
      </c>
      <c r="AB78" s="29">
        <f>세금!Q78</f>
        <v>28780</v>
      </c>
      <c r="AC78" s="14">
        <v>0</v>
      </c>
      <c r="AD78" s="28">
        <f t="shared" si="7"/>
        <v>771170</v>
      </c>
      <c r="AE78" s="28">
        <f t="shared" si="8"/>
        <v>4562700</v>
      </c>
    </row>
    <row r="79" spans="1:31" x14ac:dyDescent="0.4">
      <c r="A79" s="23">
        <v>46082</v>
      </c>
      <c r="B79" s="17">
        <v>7</v>
      </c>
      <c r="C79" s="24" t="str">
        <f>직원정보!B11</f>
        <v>S0007</v>
      </c>
      <c r="D79" s="25" t="str">
        <f>직원정보!C11</f>
        <v>사랑비</v>
      </c>
      <c r="E79" s="24" t="str">
        <f>직원정보!D11</f>
        <v>C&amp;S 2팀</v>
      </c>
      <c r="F79" s="24" t="str">
        <f>직원정보!E11</f>
        <v>차장</v>
      </c>
      <c r="G79" s="14">
        <v>3900000</v>
      </c>
      <c r="H79" s="26">
        <f>ROUND(G79/요율기준!$B$14,0)</f>
        <v>18660</v>
      </c>
      <c r="I79" s="27">
        <v>16</v>
      </c>
      <c r="J79" s="27">
        <v>9</v>
      </c>
      <c r="K79" s="14">
        <v>320000</v>
      </c>
      <c r="L79" s="26">
        <f>ROUND(H79*요율기준!$B$15*I79,0)</f>
        <v>447840</v>
      </c>
      <c r="M79" s="26">
        <f>ROUND(H79*요율기준!$B$16*J79,0)</f>
        <v>83970</v>
      </c>
      <c r="N79" s="14">
        <v>150000</v>
      </c>
      <c r="O79" s="14">
        <v>100000</v>
      </c>
      <c r="P79" s="14">
        <v>0</v>
      </c>
      <c r="Q79" s="14">
        <v>100000</v>
      </c>
      <c r="R79" s="14">
        <v>200000</v>
      </c>
      <c r="S79" s="14">
        <v>200000</v>
      </c>
      <c r="T79" s="28">
        <f t="shared" si="5"/>
        <v>5501810</v>
      </c>
      <c r="U79" s="26">
        <f>Q79+MIN(R79,요율기준!$B$17)+MIN(S79,요율기준!$B$18)</f>
        <v>500000</v>
      </c>
      <c r="V79" s="28">
        <f t="shared" si="6"/>
        <v>5001810</v>
      </c>
      <c r="W79" s="29">
        <f>'4대보험'!F79</f>
        <v>225080</v>
      </c>
      <c r="X79" s="29">
        <f>'4대보험'!H79</f>
        <v>177310</v>
      </c>
      <c r="Y79" s="29">
        <f>'4대보험'!J79</f>
        <v>22960</v>
      </c>
      <c r="Z79" s="29">
        <f>'4대보험'!L79</f>
        <v>45010</v>
      </c>
      <c r="AA79" s="29">
        <f>세금!P79</f>
        <v>309610</v>
      </c>
      <c r="AB79" s="29">
        <f>세금!Q79</f>
        <v>30960</v>
      </c>
      <c r="AC79" s="14">
        <v>0</v>
      </c>
      <c r="AD79" s="28">
        <f t="shared" si="7"/>
        <v>810930</v>
      </c>
      <c r="AE79" s="28">
        <f t="shared" si="8"/>
        <v>4690880</v>
      </c>
    </row>
    <row r="80" spans="1:31" x14ac:dyDescent="0.4">
      <c r="A80" s="23">
        <v>46113</v>
      </c>
      <c r="B80" s="17">
        <v>7</v>
      </c>
      <c r="C80" s="24" t="str">
        <f>직원정보!B11</f>
        <v>S0007</v>
      </c>
      <c r="D80" s="25" t="str">
        <f>직원정보!C11</f>
        <v>사랑비</v>
      </c>
      <c r="E80" s="24" t="str">
        <f>직원정보!D11</f>
        <v>C&amp;S 2팀</v>
      </c>
      <c r="F80" s="24" t="str">
        <f>직원정보!E11</f>
        <v>차장</v>
      </c>
      <c r="G80" s="14">
        <v>3900000</v>
      </c>
      <c r="H80" s="26">
        <f>ROUND(G80/요율기준!$B$14,0)</f>
        <v>18660</v>
      </c>
      <c r="I80" s="27">
        <v>21</v>
      </c>
      <c r="J80" s="27">
        <v>0</v>
      </c>
      <c r="K80" s="14">
        <v>320000</v>
      </c>
      <c r="L80" s="26">
        <f>ROUND(H80*요율기준!$B$15*I80,0)</f>
        <v>587790</v>
      </c>
      <c r="M80" s="26">
        <f>ROUND(H80*요율기준!$B$16*J80,0)</f>
        <v>0</v>
      </c>
      <c r="N80" s="14">
        <v>150000</v>
      </c>
      <c r="O80" s="14">
        <v>100000</v>
      </c>
      <c r="P80" s="14">
        <v>0</v>
      </c>
      <c r="Q80" s="14">
        <v>100000</v>
      </c>
      <c r="R80" s="14">
        <v>200000</v>
      </c>
      <c r="S80" s="14">
        <v>200000</v>
      </c>
      <c r="T80" s="28">
        <f t="shared" si="5"/>
        <v>5557790</v>
      </c>
      <c r="U80" s="26">
        <f>Q80+MIN(R80,요율기준!$B$17)+MIN(S80,요율기준!$B$18)</f>
        <v>500000</v>
      </c>
      <c r="V80" s="28">
        <f t="shared" si="6"/>
        <v>5057790</v>
      </c>
      <c r="W80" s="29">
        <f>'4대보험'!F80</f>
        <v>227600</v>
      </c>
      <c r="X80" s="29">
        <f>'4대보험'!H80</f>
        <v>179290</v>
      </c>
      <c r="Y80" s="29">
        <f>'4대보험'!J80</f>
        <v>23210</v>
      </c>
      <c r="Z80" s="29">
        <f>'4대보험'!L80</f>
        <v>45520</v>
      </c>
      <c r="AA80" s="29">
        <f>세금!P80</f>
        <v>316870</v>
      </c>
      <c r="AB80" s="29">
        <f>세금!Q80</f>
        <v>31680</v>
      </c>
      <c r="AC80" s="14">
        <v>0</v>
      </c>
      <c r="AD80" s="28">
        <f t="shared" si="7"/>
        <v>824170</v>
      </c>
      <c r="AE80" s="28">
        <f t="shared" si="8"/>
        <v>4733620</v>
      </c>
    </row>
    <row r="81" spans="1:31" x14ac:dyDescent="0.4">
      <c r="A81" s="23">
        <v>46143</v>
      </c>
      <c r="B81" s="17">
        <v>7</v>
      </c>
      <c r="C81" s="24" t="str">
        <f>직원정보!B11</f>
        <v>S0007</v>
      </c>
      <c r="D81" s="25" t="str">
        <f>직원정보!C11</f>
        <v>사랑비</v>
      </c>
      <c r="E81" s="24" t="str">
        <f>직원정보!D11</f>
        <v>C&amp;S 2팀</v>
      </c>
      <c r="F81" s="24" t="str">
        <f>직원정보!E11</f>
        <v>차장</v>
      </c>
      <c r="G81" s="14">
        <v>3900000</v>
      </c>
      <c r="H81" s="26">
        <f>ROUND(G81/요율기준!$B$14,0)</f>
        <v>18660</v>
      </c>
      <c r="I81" s="27">
        <v>26</v>
      </c>
      <c r="J81" s="27">
        <v>3</v>
      </c>
      <c r="K81" s="14">
        <v>320000</v>
      </c>
      <c r="L81" s="26">
        <f>ROUND(H81*요율기준!$B$15*I81,0)</f>
        <v>727740</v>
      </c>
      <c r="M81" s="26">
        <f>ROUND(H81*요율기준!$B$16*J81,0)</f>
        <v>27990</v>
      </c>
      <c r="N81" s="14">
        <v>150000</v>
      </c>
      <c r="O81" s="14">
        <v>100000</v>
      </c>
      <c r="P81" s="14">
        <v>0</v>
      </c>
      <c r="Q81" s="14">
        <v>100000</v>
      </c>
      <c r="R81" s="14">
        <v>200000</v>
      </c>
      <c r="S81" s="14">
        <v>200000</v>
      </c>
      <c r="T81" s="28">
        <f t="shared" si="5"/>
        <v>5725730</v>
      </c>
      <c r="U81" s="26">
        <f>Q81+MIN(R81,요율기준!$B$17)+MIN(S81,요율기준!$B$18)</f>
        <v>500000</v>
      </c>
      <c r="V81" s="28">
        <f t="shared" si="6"/>
        <v>5225730</v>
      </c>
      <c r="W81" s="29">
        <f>'4대보험'!F81</f>
        <v>235150</v>
      </c>
      <c r="X81" s="29">
        <f>'4대보험'!H81</f>
        <v>185250</v>
      </c>
      <c r="Y81" s="29">
        <f>'4대보험'!J81</f>
        <v>23980</v>
      </c>
      <c r="Z81" s="29">
        <f>'4대보험'!L81</f>
        <v>47030</v>
      </c>
      <c r="AA81" s="29">
        <f>세금!P81</f>
        <v>338660</v>
      </c>
      <c r="AB81" s="29">
        <f>세금!Q81</f>
        <v>33860</v>
      </c>
      <c r="AC81" s="14">
        <v>0</v>
      </c>
      <c r="AD81" s="28">
        <f t="shared" si="7"/>
        <v>863930</v>
      </c>
      <c r="AE81" s="28">
        <f t="shared" si="8"/>
        <v>4861800</v>
      </c>
    </row>
    <row r="82" spans="1:31" x14ac:dyDescent="0.4">
      <c r="A82" s="23">
        <v>46174</v>
      </c>
      <c r="B82" s="17">
        <v>7</v>
      </c>
      <c r="C82" s="24" t="str">
        <f>직원정보!B11</f>
        <v>S0007</v>
      </c>
      <c r="D82" s="25" t="str">
        <f>직원정보!C11</f>
        <v>사랑비</v>
      </c>
      <c r="E82" s="24" t="str">
        <f>직원정보!D11</f>
        <v>C&amp;S 2팀</v>
      </c>
      <c r="F82" s="24" t="str">
        <f>직원정보!E11</f>
        <v>차장</v>
      </c>
      <c r="G82" s="14">
        <v>3900000</v>
      </c>
      <c r="H82" s="26">
        <f>ROUND(G82/요율기준!$B$14,0)</f>
        <v>18660</v>
      </c>
      <c r="I82" s="27">
        <v>31</v>
      </c>
      <c r="J82" s="27">
        <v>6</v>
      </c>
      <c r="K82" s="14">
        <v>320000</v>
      </c>
      <c r="L82" s="26">
        <f>ROUND(H82*요율기준!$B$15*I82,0)</f>
        <v>867690</v>
      </c>
      <c r="M82" s="26">
        <f>ROUND(H82*요율기준!$B$16*J82,0)</f>
        <v>55980</v>
      </c>
      <c r="N82" s="14">
        <v>150000</v>
      </c>
      <c r="O82" s="14">
        <v>100000</v>
      </c>
      <c r="P82" s="14">
        <v>0</v>
      </c>
      <c r="Q82" s="14">
        <v>100000</v>
      </c>
      <c r="R82" s="14">
        <v>200000</v>
      </c>
      <c r="S82" s="14">
        <v>200000</v>
      </c>
      <c r="T82" s="28">
        <f t="shared" si="5"/>
        <v>5893670</v>
      </c>
      <c r="U82" s="26">
        <f>Q82+MIN(R82,요율기준!$B$17)+MIN(S82,요율기준!$B$18)</f>
        <v>500000</v>
      </c>
      <c r="V82" s="28">
        <f t="shared" si="6"/>
        <v>5393670</v>
      </c>
      <c r="W82" s="29">
        <f>'4대보험'!F82</f>
        <v>242710</v>
      </c>
      <c r="X82" s="29">
        <f>'4대보험'!H82</f>
        <v>191200</v>
      </c>
      <c r="Y82" s="29">
        <f>'4대보험'!J82</f>
        <v>24760</v>
      </c>
      <c r="Z82" s="29">
        <f>'4대보험'!L82</f>
        <v>48540</v>
      </c>
      <c r="AA82" s="29">
        <f>세금!P82</f>
        <v>360450</v>
      </c>
      <c r="AB82" s="29">
        <f>세금!Q82</f>
        <v>36040</v>
      </c>
      <c r="AC82" s="14">
        <v>0</v>
      </c>
      <c r="AD82" s="28">
        <f t="shared" si="7"/>
        <v>903700</v>
      </c>
      <c r="AE82" s="28">
        <f t="shared" si="8"/>
        <v>4989970</v>
      </c>
    </row>
    <row r="83" spans="1:31" x14ac:dyDescent="0.4">
      <c r="A83" s="23">
        <v>46204</v>
      </c>
      <c r="B83" s="17">
        <v>7</v>
      </c>
      <c r="C83" s="24" t="str">
        <f>직원정보!B11</f>
        <v>S0007</v>
      </c>
      <c r="D83" s="25" t="str">
        <f>직원정보!C11</f>
        <v>사랑비</v>
      </c>
      <c r="E83" s="24" t="str">
        <f>직원정보!D11</f>
        <v>C&amp;S 2팀</v>
      </c>
      <c r="F83" s="24" t="str">
        <f>직원정보!E11</f>
        <v>차장</v>
      </c>
      <c r="G83" s="14">
        <v>3900000</v>
      </c>
      <c r="H83" s="26">
        <f>ROUND(G83/요율기준!$B$14,0)</f>
        <v>18660</v>
      </c>
      <c r="I83" s="27">
        <v>11</v>
      </c>
      <c r="J83" s="27">
        <v>9</v>
      </c>
      <c r="K83" s="14">
        <v>320000</v>
      </c>
      <c r="L83" s="26">
        <f>ROUND(H83*요율기준!$B$15*I83,0)</f>
        <v>307890</v>
      </c>
      <c r="M83" s="26">
        <f>ROUND(H83*요율기준!$B$16*J83,0)</f>
        <v>83970</v>
      </c>
      <c r="N83" s="14">
        <v>150000</v>
      </c>
      <c r="O83" s="14">
        <v>100000</v>
      </c>
      <c r="P83" s="14">
        <v>0</v>
      </c>
      <c r="Q83" s="14">
        <v>100000</v>
      </c>
      <c r="R83" s="14">
        <v>200000</v>
      </c>
      <c r="S83" s="14">
        <v>200000</v>
      </c>
      <c r="T83" s="28">
        <f t="shared" si="5"/>
        <v>5361860</v>
      </c>
      <c r="U83" s="26">
        <f>Q83+MIN(R83,요율기준!$B$17)+MIN(S83,요율기준!$B$18)</f>
        <v>500000</v>
      </c>
      <c r="V83" s="28">
        <f t="shared" si="6"/>
        <v>4861860</v>
      </c>
      <c r="W83" s="29">
        <f>'4대보험'!F83</f>
        <v>218780</v>
      </c>
      <c r="X83" s="29">
        <f>'4대보험'!H83</f>
        <v>172350</v>
      </c>
      <c r="Y83" s="29">
        <f>'4대보험'!J83</f>
        <v>22310</v>
      </c>
      <c r="Z83" s="29">
        <f>'4대보험'!L83</f>
        <v>43750</v>
      </c>
      <c r="AA83" s="29">
        <f>세금!P83</f>
        <v>291450</v>
      </c>
      <c r="AB83" s="29">
        <f>세금!Q83</f>
        <v>29140</v>
      </c>
      <c r="AC83" s="14">
        <v>0</v>
      </c>
      <c r="AD83" s="28">
        <f t="shared" si="7"/>
        <v>777780</v>
      </c>
      <c r="AE83" s="28">
        <f t="shared" si="8"/>
        <v>4584080</v>
      </c>
    </row>
    <row r="84" spans="1:31" x14ac:dyDescent="0.4">
      <c r="A84" s="23">
        <v>46235</v>
      </c>
      <c r="B84" s="17">
        <v>7</v>
      </c>
      <c r="C84" s="24" t="str">
        <f>직원정보!B11</f>
        <v>S0007</v>
      </c>
      <c r="D84" s="25" t="str">
        <f>직원정보!C11</f>
        <v>사랑비</v>
      </c>
      <c r="E84" s="24" t="str">
        <f>직원정보!D11</f>
        <v>C&amp;S 2팀</v>
      </c>
      <c r="F84" s="24" t="str">
        <f>직원정보!E11</f>
        <v>차장</v>
      </c>
      <c r="G84" s="14">
        <v>3900000</v>
      </c>
      <c r="H84" s="26">
        <f>ROUND(G84/요율기준!$B$14,0)</f>
        <v>18660</v>
      </c>
      <c r="I84" s="27">
        <v>16</v>
      </c>
      <c r="J84" s="27">
        <v>0</v>
      </c>
      <c r="K84" s="14">
        <v>320000</v>
      </c>
      <c r="L84" s="26">
        <f>ROUND(H84*요율기준!$B$15*I84,0)</f>
        <v>447840</v>
      </c>
      <c r="M84" s="26">
        <f>ROUND(H84*요율기준!$B$16*J84,0)</f>
        <v>0</v>
      </c>
      <c r="N84" s="14">
        <v>150000</v>
      </c>
      <c r="O84" s="14">
        <v>100000</v>
      </c>
      <c r="P84" s="14">
        <v>0</v>
      </c>
      <c r="Q84" s="14">
        <v>100000</v>
      </c>
      <c r="R84" s="14">
        <v>200000</v>
      </c>
      <c r="S84" s="14">
        <v>200000</v>
      </c>
      <c r="T84" s="28">
        <f t="shared" si="5"/>
        <v>5417840</v>
      </c>
      <c r="U84" s="26">
        <f>Q84+MIN(R84,요율기준!$B$17)+MIN(S84,요율기준!$B$18)</f>
        <v>500000</v>
      </c>
      <c r="V84" s="28">
        <f t="shared" si="6"/>
        <v>4917840</v>
      </c>
      <c r="W84" s="29">
        <f>'4대보험'!F84</f>
        <v>221300</v>
      </c>
      <c r="X84" s="29">
        <f>'4대보험'!H84</f>
        <v>174330</v>
      </c>
      <c r="Y84" s="29">
        <f>'4대보험'!J84</f>
        <v>22570</v>
      </c>
      <c r="Z84" s="29">
        <f>'4대보험'!L84</f>
        <v>44260</v>
      </c>
      <c r="AA84" s="29">
        <f>세금!P84</f>
        <v>298710</v>
      </c>
      <c r="AB84" s="29">
        <f>세금!Q84</f>
        <v>29870</v>
      </c>
      <c r="AC84" s="14">
        <v>0</v>
      </c>
      <c r="AD84" s="28">
        <f t="shared" si="7"/>
        <v>791040</v>
      </c>
      <c r="AE84" s="28">
        <f t="shared" si="8"/>
        <v>4626800</v>
      </c>
    </row>
    <row r="85" spans="1:31" x14ac:dyDescent="0.4">
      <c r="A85" s="23">
        <v>46266</v>
      </c>
      <c r="B85" s="17">
        <v>7</v>
      </c>
      <c r="C85" s="24" t="str">
        <f>직원정보!B11</f>
        <v>S0007</v>
      </c>
      <c r="D85" s="25" t="str">
        <f>직원정보!C11</f>
        <v>사랑비</v>
      </c>
      <c r="E85" s="24" t="str">
        <f>직원정보!D11</f>
        <v>C&amp;S 2팀</v>
      </c>
      <c r="F85" s="24" t="str">
        <f>직원정보!E11</f>
        <v>차장</v>
      </c>
      <c r="G85" s="14">
        <v>3900000</v>
      </c>
      <c r="H85" s="26">
        <f>ROUND(G85/요율기준!$B$14,0)</f>
        <v>18660</v>
      </c>
      <c r="I85" s="27">
        <v>21</v>
      </c>
      <c r="J85" s="27">
        <v>3</v>
      </c>
      <c r="K85" s="14">
        <v>320000</v>
      </c>
      <c r="L85" s="26">
        <f>ROUND(H85*요율기준!$B$15*I85,0)</f>
        <v>587790</v>
      </c>
      <c r="M85" s="26">
        <f>ROUND(H85*요율기준!$B$16*J85,0)</f>
        <v>27990</v>
      </c>
      <c r="N85" s="14">
        <v>150000</v>
      </c>
      <c r="O85" s="14">
        <v>100000</v>
      </c>
      <c r="P85" s="14">
        <v>0</v>
      </c>
      <c r="Q85" s="14">
        <v>100000</v>
      </c>
      <c r="R85" s="14">
        <v>200000</v>
      </c>
      <c r="S85" s="14">
        <v>200000</v>
      </c>
      <c r="T85" s="28">
        <f t="shared" si="5"/>
        <v>5585780</v>
      </c>
      <c r="U85" s="26">
        <f>Q85+MIN(R85,요율기준!$B$17)+MIN(S85,요율기준!$B$18)</f>
        <v>500000</v>
      </c>
      <c r="V85" s="28">
        <f t="shared" si="6"/>
        <v>5085780</v>
      </c>
      <c r="W85" s="29">
        <f>'4대보험'!F85</f>
        <v>228860</v>
      </c>
      <c r="X85" s="29">
        <f>'4대보험'!H85</f>
        <v>180290</v>
      </c>
      <c r="Y85" s="29">
        <f>'4대보험'!J85</f>
        <v>23340</v>
      </c>
      <c r="Z85" s="29">
        <f>'4대보험'!L85</f>
        <v>45770</v>
      </c>
      <c r="AA85" s="29">
        <f>세금!P85</f>
        <v>320500</v>
      </c>
      <c r="AB85" s="29">
        <f>세금!Q85</f>
        <v>32050</v>
      </c>
      <c r="AC85" s="14">
        <v>0</v>
      </c>
      <c r="AD85" s="28">
        <f t="shared" si="7"/>
        <v>830810</v>
      </c>
      <c r="AE85" s="28">
        <f t="shared" si="8"/>
        <v>4754970</v>
      </c>
    </row>
    <row r="86" spans="1:31" x14ac:dyDescent="0.4">
      <c r="A86" s="23">
        <v>46296</v>
      </c>
      <c r="B86" s="17">
        <v>7</v>
      </c>
      <c r="C86" s="24" t="str">
        <f>직원정보!B11</f>
        <v>S0007</v>
      </c>
      <c r="D86" s="25" t="str">
        <f>직원정보!C11</f>
        <v>사랑비</v>
      </c>
      <c r="E86" s="24" t="str">
        <f>직원정보!D11</f>
        <v>C&amp;S 2팀</v>
      </c>
      <c r="F86" s="24" t="str">
        <f>직원정보!E11</f>
        <v>차장</v>
      </c>
      <c r="G86" s="14">
        <v>3900000</v>
      </c>
      <c r="H86" s="26">
        <f>ROUND(G86/요율기준!$B$14,0)</f>
        <v>18660</v>
      </c>
      <c r="I86" s="27">
        <v>26</v>
      </c>
      <c r="J86" s="27">
        <v>6</v>
      </c>
      <c r="K86" s="14">
        <v>320000</v>
      </c>
      <c r="L86" s="26">
        <f>ROUND(H86*요율기준!$B$15*I86,0)</f>
        <v>727740</v>
      </c>
      <c r="M86" s="26">
        <f>ROUND(H86*요율기준!$B$16*J86,0)</f>
        <v>55980</v>
      </c>
      <c r="N86" s="14">
        <v>150000</v>
      </c>
      <c r="O86" s="14">
        <v>100000</v>
      </c>
      <c r="P86" s="14">
        <v>0</v>
      </c>
      <c r="Q86" s="14">
        <v>100000</v>
      </c>
      <c r="R86" s="14">
        <v>200000</v>
      </c>
      <c r="S86" s="14">
        <v>200000</v>
      </c>
      <c r="T86" s="28">
        <f t="shared" si="5"/>
        <v>5753720</v>
      </c>
      <c r="U86" s="26">
        <f>Q86+MIN(R86,요율기준!$B$17)+MIN(S86,요율기준!$B$18)</f>
        <v>500000</v>
      </c>
      <c r="V86" s="28">
        <f t="shared" si="6"/>
        <v>5253720</v>
      </c>
      <c r="W86" s="29">
        <f>'4대보험'!F86</f>
        <v>236410</v>
      </c>
      <c r="X86" s="29">
        <f>'4대보험'!H86</f>
        <v>186240</v>
      </c>
      <c r="Y86" s="29">
        <f>'4대보험'!J86</f>
        <v>24110</v>
      </c>
      <c r="Z86" s="29">
        <f>'4대보험'!L86</f>
        <v>47280</v>
      </c>
      <c r="AA86" s="29">
        <f>세금!P86</f>
        <v>342290</v>
      </c>
      <c r="AB86" s="29">
        <f>세금!Q86</f>
        <v>34220</v>
      </c>
      <c r="AC86" s="14">
        <v>0</v>
      </c>
      <c r="AD86" s="28">
        <f t="shared" si="7"/>
        <v>870550</v>
      </c>
      <c r="AE86" s="28">
        <f t="shared" si="8"/>
        <v>4883170</v>
      </c>
    </row>
    <row r="87" spans="1:31" x14ac:dyDescent="0.4">
      <c r="A87" s="23">
        <v>46327</v>
      </c>
      <c r="B87" s="17">
        <v>7</v>
      </c>
      <c r="C87" s="24" t="str">
        <f>직원정보!B11</f>
        <v>S0007</v>
      </c>
      <c r="D87" s="25" t="str">
        <f>직원정보!C11</f>
        <v>사랑비</v>
      </c>
      <c r="E87" s="24" t="str">
        <f>직원정보!D11</f>
        <v>C&amp;S 2팀</v>
      </c>
      <c r="F87" s="24" t="str">
        <f>직원정보!E11</f>
        <v>차장</v>
      </c>
      <c r="G87" s="14">
        <v>3900000</v>
      </c>
      <c r="H87" s="26">
        <f>ROUND(G87/요율기준!$B$14,0)</f>
        <v>18660</v>
      </c>
      <c r="I87" s="27">
        <v>31</v>
      </c>
      <c r="J87" s="27">
        <v>9</v>
      </c>
      <c r="K87" s="14">
        <v>320000</v>
      </c>
      <c r="L87" s="26">
        <f>ROUND(H87*요율기준!$B$15*I87,0)</f>
        <v>867690</v>
      </c>
      <c r="M87" s="26">
        <f>ROUND(H87*요율기준!$B$16*J87,0)</f>
        <v>83970</v>
      </c>
      <c r="N87" s="14">
        <v>150000</v>
      </c>
      <c r="O87" s="14">
        <v>100000</v>
      </c>
      <c r="P87" s="14">
        <v>0</v>
      </c>
      <c r="Q87" s="14">
        <v>100000</v>
      </c>
      <c r="R87" s="14">
        <v>200000</v>
      </c>
      <c r="S87" s="14">
        <v>200000</v>
      </c>
      <c r="T87" s="28">
        <f t="shared" si="5"/>
        <v>5921660</v>
      </c>
      <c r="U87" s="26">
        <f>Q87+MIN(R87,요율기준!$B$17)+MIN(S87,요율기준!$B$18)</f>
        <v>500000</v>
      </c>
      <c r="V87" s="28">
        <f t="shared" si="6"/>
        <v>5421660</v>
      </c>
      <c r="W87" s="29">
        <f>'4대보험'!F87</f>
        <v>243970</v>
      </c>
      <c r="X87" s="29">
        <f>'4대보험'!H87</f>
        <v>192190</v>
      </c>
      <c r="Y87" s="29">
        <f>'4대보험'!J87</f>
        <v>24880</v>
      </c>
      <c r="Z87" s="29">
        <f>'4대보험'!L87</f>
        <v>48790</v>
      </c>
      <c r="AA87" s="29">
        <f>세금!P87</f>
        <v>364080</v>
      </c>
      <c r="AB87" s="29">
        <f>세금!Q87</f>
        <v>36400</v>
      </c>
      <c r="AC87" s="14">
        <v>0</v>
      </c>
      <c r="AD87" s="28">
        <f t="shared" si="7"/>
        <v>910310</v>
      </c>
      <c r="AE87" s="28">
        <f t="shared" si="8"/>
        <v>5011350</v>
      </c>
    </row>
    <row r="88" spans="1:31" x14ac:dyDescent="0.4">
      <c r="A88" s="23">
        <v>46357</v>
      </c>
      <c r="B88" s="17">
        <v>7</v>
      </c>
      <c r="C88" s="24" t="str">
        <f>직원정보!B11</f>
        <v>S0007</v>
      </c>
      <c r="D88" s="25" t="str">
        <f>직원정보!C11</f>
        <v>사랑비</v>
      </c>
      <c r="E88" s="24" t="str">
        <f>직원정보!D11</f>
        <v>C&amp;S 2팀</v>
      </c>
      <c r="F88" s="24" t="str">
        <f>직원정보!E11</f>
        <v>차장</v>
      </c>
      <c r="G88" s="14">
        <v>3900000</v>
      </c>
      <c r="H88" s="26">
        <f>ROUND(G88/요율기준!$B$14,0)</f>
        <v>18660</v>
      </c>
      <c r="I88" s="27">
        <v>11</v>
      </c>
      <c r="J88" s="27">
        <v>0</v>
      </c>
      <c r="K88" s="14">
        <v>320000</v>
      </c>
      <c r="L88" s="26">
        <f>ROUND(H88*요율기준!$B$15*I88,0)</f>
        <v>307890</v>
      </c>
      <c r="M88" s="26">
        <f>ROUND(H88*요율기준!$B$16*J88,0)</f>
        <v>0</v>
      </c>
      <c r="N88" s="14">
        <v>150000</v>
      </c>
      <c r="O88" s="14">
        <v>100000</v>
      </c>
      <c r="P88" s="14">
        <v>0</v>
      </c>
      <c r="Q88" s="14">
        <v>100000</v>
      </c>
      <c r="R88" s="14">
        <v>200000</v>
      </c>
      <c r="S88" s="14">
        <v>200000</v>
      </c>
      <c r="T88" s="28">
        <f t="shared" si="5"/>
        <v>5277890</v>
      </c>
      <c r="U88" s="26">
        <f>Q88+MIN(R88,요율기준!$B$17)+MIN(S88,요율기준!$B$18)</f>
        <v>500000</v>
      </c>
      <c r="V88" s="28">
        <f t="shared" si="6"/>
        <v>4777890</v>
      </c>
      <c r="W88" s="29">
        <f>'4대보험'!F88</f>
        <v>215000</v>
      </c>
      <c r="X88" s="29">
        <f>'4대보험'!H88</f>
        <v>169370</v>
      </c>
      <c r="Y88" s="29">
        <f>'4대보험'!J88</f>
        <v>21930</v>
      </c>
      <c r="Z88" s="29">
        <f>'4대보험'!L88</f>
        <v>43000</v>
      </c>
      <c r="AA88" s="29">
        <f>세금!P88</f>
        <v>280550</v>
      </c>
      <c r="AB88" s="29">
        <f>세금!Q88</f>
        <v>28050</v>
      </c>
      <c r="AC88" s="14">
        <v>0</v>
      </c>
      <c r="AD88" s="28">
        <f t="shared" si="7"/>
        <v>757900</v>
      </c>
      <c r="AE88" s="28">
        <f t="shared" si="8"/>
        <v>4519990</v>
      </c>
    </row>
    <row r="89" spans="1:31" x14ac:dyDescent="0.4">
      <c r="A89" s="23">
        <v>46023</v>
      </c>
      <c r="B89" s="17">
        <v>8</v>
      </c>
      <c r="C89" s="24" t="str">
        <f>직원정보!B12</f>
        <v>S0008</v>
      </c>
      <c r="D89" s="25" t="str">
        <f>직원정보!C12</f>
        <v>아름찬</v>
      </c>
      <c r="E89" s="24" t="str">
        <f>직원정보!D12</f>
        <v>SAP팀</v>
      </c>
      <c r="F89" s="24" t="str">
        <f>직원정보!E12</f>
        <v>차장</v>
      </c>
      <c r="G89" s="14">
        <v>3900000</v>
      </c>
      <c r="H89" s="26">
        <f>ROUND(G89/요율기준!$B$14,0)</f>
        <v>18660</v>
      </c>
      <c r="I89" s="27">
        <v>9</v>
      </c>
      <c r="J89" s="27">
        <v>5</v>
      </c>
      <c r="K89" s="14">
        <v>320000</v>
      </c>
      <c r="L89" s="26">
        <f>ROUND(H89*요율기준!$B$15*I89,0)</f>
        <v>251910</v>
      </c>
      <c r="M89" s="26">
        <f>ROUND(H89*요율기준!$B$16*J89,0)</f>
        <v>46650</v>
      </c>
      <c r="N89" s="14">
        <v>150000</v>
      </c>
      <c r="O89" s="14">
        <v>100000</v>
      </c>
      <c r="P89" s="14">
        <v>0</v>
      </c>
      <c r="Q89" s="14">
        <v>100000</v>
      </c>
      <c r="R89" s="14">
        <v>200000</v>
      </c>
      <c r="S89" s="14">
        <v>200000</v>
      </c>
      <c r="T89" s="28">
        <f t="shared" si="5"/>
        <v>5268560</v>
      </c>
      <c r="U89" s="26">
        <f>Q89+MIN(R89,요율기준!$B$17)+MIN(S89,요율기준!$B$18)</f>
        <v>500000</v>
      </c>
      <c r="V89" s="28">
        <f t="shared" si="6"/>
        <v>4768560</v>
      </c>
      <c r="W89" s="29">
        <f>'4대보험'!F89</f>
        <v>214580</v>
      </c>
      <c r="X89" s="29">
        <f>'4대보험'!H89</f>
        <v>169040</v>
      </c>
      <c r="Y89" s="29">
        <f>'4대보험'!J89</f>
        <v>21890</v>
      </c>
      <c r="Z89" s="29">
        <f>'4대보험'!L89</f>
        <v>42910</v>
      </c>
      <c r="AA89" s="29">
        <f>세금!P89</f>
        <v>279340</v>
      </c>
      <c r="AB89" s="29">
        <f>세금!Q89</f>
        <v>27930</v>
      </c>
      <c r="AC89" s="14">
        <v>0</v>
      </c>
      <c r="AD89" s="28">
        <f t="shared" si="7"/>
        <v>755690</v>
      </c>
      <c r="AE89" s="28">
        <f t="shared" si="8"/>
        <v>4512870</v>
      </c>
    </row>
    <row r="90" spans="1:31" x14ac:dyDescent="0.4">
      <c r="A90" s="23">
        <v>46054</v>
      </c>
      <c r="B90" s="17">
        <v>8</v>
      </c>
      <c r="C90" s="24" t="str">
        <f>직원정보!B12</f>
        <v>S0008</v>
      </c>
      <c r="D90" s="25" t="str">
        <f>직원정보!C12</f>
        <v>아름찬</v>
      </c>
      <c r="E90" s="24" t="str">
        <f>직원정보!D12</f>
        <v>SAP팀</v>
      </c>
      <c r="F90" s="24" t="str">
        <f>직원정보!E12</f>
        <v>차장</v>
      </c>
      <c r="G90" s="14">
        <v>3900000</v>
      </c>
      <c r="H90" s="26">
        <f>ROUND(G90/요율기준!$B$14,0)</f>
        <v>18660</v>
      </c>
      <c r="I90" s="27">
        <v>14</v>
      </c>
      <c r="J90" s="27">
        <v>8</v>
      </c>
      <c r="K90" s="14">
        <v>320000</v>
      </c>
      <c r="L90" s="26">
        <f>ROUND(H90*요율기준!$B$15*I90,0)</f>
        <v>391860</v>
      </c>
      <c r="M90" s="26">
        <f>ROUND(H90*요율기준!$B$16*J90,0)</f>
        <v>74640</v>
      </c>
      <c r="N90" s="14">
        <v>150000</v>
      </c>
      <c r="O90" s="14">
        <v>100000</v>
      </c>
      <c r="P90" s="14">
        <v>0</v>
      </c>
      <c r="Q90" s="14">
        <v>100000</v>
      </c>
      <c r="R90" s="14">
        <v>200000</v>
      </c>
      <c r="S90" s="14">
        <v>200000</v>
      </c>
      <c r="T90" s="28">
        <f t="shared" si="5"/>
        <v>5436500</v>
      </c>
      <c r="U90" s="26">
        <f>Q90+MIN(R90,요율기준!$B$17)+MIN(S90,요율기준!$B$18)</f>
        <v>500000</v>
      </c>
      <c r="V90" s="28">
        <f t="shared" si="6"/>
        <v>4936500</v>
      </c>
      <c r="W90" s="29">
        <f>'4대보험'!F90</f>
        <v>222140</v>
      </c>
      <c r="X90" s="29">
        <f>'4대보험'!H90</f>
        <v>174990</v>
      </c>
      <c r="Y90" s="29">
        <f>'4대보험'!J90</f>
        <v>22660</v>
      </c>
      <c r="Z90" s="29">
        <f>'4대보험'!L90</f>
        <v>44420</v>
      </c>
      <c r="AA90" s="29">
        <f>세금!P90</f>
        <v>301130</v>
      </c>
      <c r="AB90" s="29">
        <f>세금!Q90</f>
        <v>30110</v>
      </c>
      <c r="AC90" s="14">
        <v>0</v>
      </c>
      <c r="AD90" s="28">
        <f t="shared" si="7"/>
        <v>795450</v>
      </c>
      <c r="AE90" s="28">
        <f t="shared" si="8"/>
        <v>4641050</v>
      </c>
    </row>
    <row r="91" spans="1:31" x14ac:dyDescent="0.4">
      <c r="A91" s="23">
        <v>46082</v>
      </c>
      <c r="B91" s="17">
        <v>8</v>
      </c>
      <c r="C91" s="24" t="str">
        <f>직원정보!B12</f>
        <v>S0008</v>
      </c>
      <c r="D91" s="25" t="str">
        <f>직원정보!C12</f>
        <v>아름찬</v>
      </c>
      <c r="E91" s="24" t="str">
        <f>직원정보!D12</f>
        <v>SAP팀</v>
      </c>
      <c r="F91" s="24" t="str">
        <f>직원정보!E12</f>
        <v>차장</v>
      </c>
      <c r="G91" s="14">
        <v>3900000</v>
      </c>
      <c r="H91" s="26">
        <f>ROUND(G91/요율기준!$B$14,0)</f>
        <v>18660</v>
      </c>
      <c r="I91" s="27">
        <v>19</v>
      </c>
      <c r="J91" s="27">
        <v>11</v>
      </c>
      <c r="K91" s="14">
        <v>320000</v>
      </c>
      <c r="L91" s="26">
        <f>ROUND(H91*요율기준!$B$15*I91,0)</f>
        <v>531810</v>
      </c>
      <c r="M91" s="26">
        <f>ROUND(H91*요율기준!$B$16*J91,0)</f>
        <v>102630</v>
      </c>
      <c r="N91" s="14">
        <v>150000</v>
      </c>
      <c r="O91" s="14">
        <v>100000</v>
      </c>
      <c r="P91" s="14">
        <v>0</v>
      </c>
      <c r="Q91" s="14">
        <v>100000</v>
      </c>
      <c r="R91" s="14">
        <v>200000</v>
      </c>
      <c r="S91" s="14">
        <v>200000</v>
      </c>
      <c r="T91" s="28">
        <f t="shared" si="5"/>
        <v>5604440</v>
      </c>
      <c r="U91" s="26">
        <f>Q91+MIN(R91,요율기준!$B$17)+MIN(S91,요율기준!$B$18)</f>
        <v>500000</v>
      </c>
      <c r="V91" s="28">
        <f t="shared" si="6"/>
        <v>5104440</v>
      </c>
      <c r="W91" s="29">
        <f>'4대보험'!F91</f>
        <v>229690</v>
      </c>
      <c r="X91" s="29">
        <f>'4대보험'!H91</f>
        <v>180950</v>
      </c>
      <c r="Y91" s="29">
        <f>'4대보험'!J91</f>
        <v>23430</v>
      </c>
      <c r="Z91" s="29">
        <f>'4대보험'!L91</f>
        <v>45930</v>
      </c>
      <c r="AA91" s="29">
        <f>세금!P91</f>
        <v>322920</v>
      </c>
      <c r="AB91" s="29">
        <f>세금!Q91</f>
        <v>32290</v>
      </c>
      <c r="AC91" s="14">
        <v>0</v>
      </c>
      <c r="AD91" s="28">
        <f t="shared" si="7"/>
        <v>835210</v>
      </c>
      <c r="AE91" s="28">
        <f t="shared" si="8"/>
        <v>4769230</v>
      </c>
    </row>
    <row r="92" spans="1:31" x14ac:dyDescent="0.4">
      <c r="A92" s="23">
        <v>46113</v>
      </c>
      <c r="B92" s="17">
        <v>8</v>
      </c>
      <c r="C92" s="24" t="str">
        <f>직원정보!B12</f>
        <v>S0008</v>
      </c>
      <c r="D92" s="25" t="str">
        <f>직원정보!C12</f>
        <v>아름찬</v>
      </c>
      <c r="E92" s="24" t="str">
        <f>직원정보!D12</f>
        <v>SAP팀</v>
      </c>
      <c r="F92" s="24" t="str">
        <f>직원정보!E12</f>
        <v>차장</v>
      </c>
      <c r="G92" s="14">
        <v>3900000</v>
      </c>
      <c r="H92" s="26">
        <f>ROUND(G92/요율기준!$B$14,0)</f>
        <v>18660</v>
      </c>
      <c r="I92" s="27">
        <v>24</v>
      </c>
      <c r="J92" s="27">
        <v>2</v>
      </c>
      <c r="K92" s="14">
        <v>320000</v>
      </c>
      <c r="L92" s="26">
        <f>ROUND(H92*요율기준!$B$15*I92,0)</f>
        <v>671760</v>
      </c>
      <c r="M92" s="26">
        <f>ROUND(H92*요율기준!$B$16*J92,0)</f>
        <v>18660</v>
      </c>
      <c r="N92" s="14">
        <v>150000</v>
      </c>
      <c r="O92" s="14">
        <v>100000</v>
      </c>
      <c r="P92" s="14">
        <v>0</v>
      </c>
      <c r="Q92" s="14">
        <v>100000</v>
      </c>
      <c r="R92" s="14">
        <v>200000</v>
      </c>
      <c r="S92" s="14">
        <v>200000</v>
      </c>
      <c r="T92" s="28">
        <f t="shared" si="5"/>
        <v>5660420</v>
      </c>
      <c r="U92" s="26">
        <f>Q92+MIN(R92,요율기준!$B$17)+MIN(S92,요율기준!$B$18)</f>
        <v>500000</v>
      </c>
      <c r="V92" s="28">
        <f t="shared" si="6"/>
        <v>5160420</v>
      </c>
      <c r="W92" s="29">
        <f>'4대보험'!F92</f>
        <v>232210</v>
      </c>
      <c r="X92" s="29">
        <f>'4대보험'!H92</f>
        <v>182930</v>
      </c>
      <c r="Y92" s="29">
        <f>'4대보험'!J92</f>
        <v>23680</v>
      </c>
      <c r="Z92" s="29">
        <f>'4대보험'!L92</f>
        <v>46440</v>
      </c>
      <c r="AA92" s="29">
        <f>세금!P92</f>
        <v>330190</v>
      </c>
      <c r="AB92" s="29">
        <f>세금!Q92</f>
        <v>33010</v>
      </c>
      <c r="AC92" s="14">
        <v>0</v>
      </c>
      <c r="AD92" s="28">
        <f t="shared" si="7"/>
        <v>848460</v>
      </c>
      <c r="AE92" s="28">
        <f t="shared" si="8"/>
        <v>4811960</v>
      </c>
    </row>
    <row r="93" spans="1:31" x14ac:dyDescent="0.4">
      <c r="A93" s="23">
        <v>46143</v>
      </c>
      <c r="B93" s="17">
        <v>8</v>
      </c>
      <c r="C93" s="24" t="str">
        <f>직원정보!B12</f>
        <v>S0008</v>
      </c>
      <c r="D93" s="25" t="str">
        <f>직원정보!C12</f>
        <v>아름찬</v>
      </c>
      <c r="E93" s="24" t="str">
        <f>직원정보!D12</f>
        <v>SAP팀</v>
      </c>
      <c r="F93" s="24" t="str">
        <f>직원정보!E12</f>
        <v>차장</v>
      </c>
      <c r="G93" s="14">
        <v>3900000</v>
      </c>
      <c r="H93" s="26">
        <f>ROUND(G93/요율기준!$B$14,0)</f>
        <v>18660</v>
      </c>
      <c r="I93" s="27">
        <v>29</v>
      </c>
      <c r="J93" s="27">
        <v>5</v>
      </c>
      <c r="K93" s="14">
        <v>320000</v>
      </c>
      <c r="L93" s="26">
        <f>ROUND(H93*요율기준!$B$15*I93,0)</f>
        <v>811710</v>
      </c>
      <c r="M93" s="26">
        <f>ROUND(H93*요율기준!$B$16*J93,0)</f>
        <v>46650</v>
      </c>
      <c r="N93" s="14">
        <v>150000</v>
      </c>
      <c r="O93" s="14">
        <v>100000</v>
      </c>
      <c r="P93" s="14">
        <v>0</v>
      </c>
      <c r="Q93" s="14">
        <v>100000</v>
      </c>
      <c r="R93" s="14">
        <v>200000</v>
      </c>
      <c r="S93" s="14">
        <v>200000</v>
      </c>
      <c r="T93" s="28">
        <f t="shared" si="5"/>
        <v>5828360</v>
      </c>
      <c r="U93" s="26">
        <f>Q93+MIN(R93,요율기준!$B$17)+MIN(S93,요율기준!$B$18)</f>
        <v>500000</v>
      </c>
      <c r="V93" s="28">
        <f t="shared" si="6"/>
        <v>5328360</v>
      </c>
      <c r="W93" s="29">
        <f>'4대보험'!F93</f>
        <v>239770</v>
      </c>
      <c r="X93" s="29">
        <f>'4대보험'!H93</f>
        <v>188890</v>
      </c>
      <c r="Y93" s="29">
        <f>'4대보험'!J93</f>
        <v>24460</v>
      </c>
      <c r="Z93" s="29">
        <f>'4대보험'!L93</f>
        <v>47950</v>
      </c>
      <c r="AA93" s="29">
        <f>세금!P93</f>
        <v>351980</v>
      </c>
      <c r="AB93" s="29">
        <f>세금!Q93</f>
        <v>35190</v>
      </c>
      <c r="AC93" s="14">
        <v>0</v>
      </c>
      <c r="AD93" s="28">
        <f t="shared" si="7"/>
        <v>888240</v>
      </c>
      <c r="AE93" s="28">
        <f t="shared" si="8"/>
        <v>4940120</v>
      </c>
    </row>
    <row r="94" spans="1:31" x14ac:dyDescent="0.4">
      <c r="A94" s="23">
        <v>46174</v>
      </c>
      <c r="B94" s="17">
        <v>8</v>
      </c>
      <c r="C94" s="24" t="str">
        <f>직원정보!B12</f>
        <v>S0008</v>
      </c>
      <c r="D94" s="25" t="str">
        <f>직원정보!C12</f>
        <v>아름찬</v>
      </c>
      <c r="E94" s="24" t="str">
        <f>직원정보!D12</f>
        <v>SAP팀</v>
      </c>
      <c r="F94" s="24" t="str">
        <f>직원정보!E12</f>
        <v>차장</v>
      </c>
      <c r="G94" s="14">
        <v>3900000</v>
      </c>
      <c r="H94" s="26">
        <f>ROUND(G94/요율기준!$B$14,0)</f>
        <v>18660</v>
      </c>
      <c r="I94" s="27">
        <v>9</v>
      </c>
      <c r="J94" s="27">
        <v>8</v>
      </c>
      <c r="K94" s="14">
        <v>320000</v>
      </c>
      <c r="L94" s="26">
        <f>ROUND(H94*요율기준!$B$15*I94,0)</f>
        <v>251910</v>
      </c>
      <c r="M94" s="26">
        <f>ROUND(H94*요율기준!$B$16*J94,0)</f>
        <v>74640</v>
      </c>
      <c r="N94" s="14">
        <v>150000</v>
      </c>
      <c r="O94" s="14">
        <v>100000</v>
      </c>
      <c r="P94" s="14">
        <v>0</v>
      </c>
      <c r="Q94" s="14">
        <v>100000</v>
      </c>
      <c r="R94" s="14">
        <v>200000</v>
      </c>
      <c r="S94" s="14">
        <v>200000</v>
      </c>
      <c r="T94" s="28">
        <f t="shared" si="5"/>
        <v>5296550</v>
      </c>
      <c r="U94" s="26">
        <f>Q94+MIN(R94,요율기준!$B$17)+MIN(S94,요율기준!$B$18)</f>
        <v>500000</v>
      </c>
      <c r="V94" s="28">
        <f t="shared" si="6"/>
        <v>4796550</v>
      </c>
      <c r="W94" s="29">
        <f>'4대보험'!F94</f>
        <v>215840</v>
      </c>
      <c r="X94" s="29">
        <f>'4대보험'!H94</f>
        <v>170030</v>
      </c>
      <c r="Y94" s="29">
        <f>'4대보험'!J94</f>
        <v>22010</v>
      </c>
      <c r="Z94" s="29">
        <f>'4대보험'!L94</f>
        <v>43160</v>
      </c>
      <c r="AA94" s="29">
        <f>세금!P94</f>
        <v>282970</v>
      </c>
      <c r="AB94" s="29">
        <f>세금!Q94</f>
        <v>28290</v>
      </c>
      <c r="AC94" s="14">
        <v>0</v>
      </c>
      <c r="AD94" s="28">
        <f t="shared" si="7"/>
        <v>762300</v>
      </c>
      <c r="AE94" s="28">
        <f t="shared" si="8"/>
        <v>4534250</v>
      </c>
    </row>
    <row r="95" spans="1:31" x14ac:dyDescent="0.4">
      <c r="A95" s="23">
        <v>46204</v>
      </c>
      <c r="B95" s="17">
        <v>8</v>
      </c>
      <c r="C95" s="24" t="str">
        <f>직원정보!B12</f>
        <v>S0008</v>
      </c>
      <c r="D95" s="25" t="str">
        <f>직원정보!C12</f>
        <v>아름찬</v>
      </c>
      <c r="E95" s="24" t="str">
        <f>직원정보!D12</f>
        <v>SAP팀</v>
      </c>
      <c r="F95" s="24" t="str">
        <f>직원정보!E12</f>
        <v>차장</v>
      </c>
      <c r="G95" s="14">
        <v>3900000</v>
      </c>
      <c r="H95" s="26">
        <f>ROUND(G95/요율기준!$B$14,0)</f>
        <v>18660</v>
      </c>
      <c r="I95" s="27">
        <v>14</v>
      </c>
      <c r="J95" s="27">
        <v>11</v>
      </c>
      <c r="K95" s="14">
        <v>320000</v>
      </c>
      <c r="L95" s="26">
        <f>ROUND(H95*요율기준!$B$15*I95,0)</f>
        <v>391860</v>
      </c>
      <c r="M95" s="26">
        <f>ROUND(H95*요율기준!$B$16*J95,0)</f>
        <v>102630</v>
      </c>
      <c r="N95" s="14">
        <v>150000</v>
      </c>
      <c r="O95" s="14">
        <v>100000</v>
      </c>
      <c r="P95" s="14">
        <v>0</v>
      </c>
      <c r="Q95" s="14">
        <v>100000</v>
      </c>
      <c r="R95" s="14">
        <v>200000</v>
      </c>
      <c r="S95" s="14">
        <v>200000</v>
      </c>
      <c r="T95" s="28">
        <f t="shared" si="5"/>
        <v>5464490</v>
      </c>
      <c r="U95" s="26">
        <f>Q95+MIN(R95,요율기준!$B$17)+MIN(S95,요율기준!$B$18)</f>
        <v>500000</v>
      </c>
      <c r="V95" s="28">
        <f t="shared" si="6"/>
        <v>4964490</v>
      </c>
      <c r="W95" s="29">
        <f>'4대보험'!F95</f>
        <v>223400</v>
      </c>
      <c r="X95" s="29">
        <f>'4대보험'!H95</f>
        <v>175990</v>
      </c>
      <c r="Y95" s="29">
        <f>'4대보험'!J95</f>
        <v>22790</v>
      </c>
      <c r="Z95" s="29">
        <f>'4대보험'!L95</f>
        <v>44680</v>
      </c>
      <c r="AA95" s="29">
        <f>세금!P95</f>
        <v>304760</v>
      </c>
      <c r="AB95" s="29">
        <f>세금!Q95</f>
        <v>30470</v>
      </c>
      <c r="AC95" s="14">
        <v>0</v>
      </c>
      <c r="AD95" s="28">
        <f t="shared" si="7"/>
        <v>802090</v>
      </c>
      <c r="AE95" s="28">
        <f t="shared" si="8"/>
        <v>4662400</v>
      </c>
    </row>
    <row r="96" spans="1:31" x14ac:dyDescent="0.4">
      <c r="A96" s="23">
        <v>46235</v>
      </c>
      <c r="B96" s="17">
        <v>8</v>
      </c>
      <c r="C96" s="24" t="str">
        <f>직원정보!B12</f>
        <v>S0008</v>
      </c>
      <c r="D96" s="25" t="str">
        <f>직원정보!C12</f>
        <v>아름찬</v>
      </c>
      <c r="E96" s="24" t="str">
        <f>직원정보!D12</f>
        <v>SAP팀</v>
      </c>
      <c r="F96" s="24" t="str">
        <f>직원정보!E12</f>
        <v>차장</v>
      </c>
      <c r="G96" s="14">
        <v>3900000</v>
      </c>
      <c r="H96" s="26">
        <f>ROUND(G96/요율기준!$B$14,0)</f>
        <v>18660</v>
      </c>
      <c r="I96" s="27">
        <v>19</v>
      </c>
      <c r="J96" s="27">
        <v>2</v>
      </c>
      <c r="K96" s="14">
        <v>320000</v>
      </c>
      <c r="L96" s="26">
        <f>ROUND(H96*요율기준!$B$15*I96,0)</f>
        <v>531810</v>
      </c>
      <c r="M96" s="26">
        <f>ROUND(H96*요율기준!$B$16*J96,0)</f>
        <v>18660</v>
      </c>
      <c r="N96" s="14">
        <v>150000</v>
      </c>
      <c r="O96" s="14">
        <v>100000</v>
      </c>
      <c r="P96" s="14">
        <v>0</v>
      </c>
      <c r="Q96" s="14">
        <v>100000</v>
      </c>
      <c r="R96" s="14">
        <v>200000</v>
      </c>
      <c r="S96" s="14">
        <v>200000</v>
      </c>
      <c r="T96" s="28">
        <f t="shared" si="5"/>
        <v>5520470</v>
      </c>
      <c r="U96" s="26">
        <f>Q96+MIN(R96,요율기준!$B$17)+MIN(S96,요율기준!$B$18)</f>
        <v>500000</v>
      </c>
      <c r="V96" s="28">
        <f t="shared" si="6"/>
        <v>5020470</v>
      </c>
      <c r="W96" s="29">
        <f>'4대보험'!F96</f>
        <v>225920</v>
      </c>
      <c r="X96" s="29">
        <f>'4대보험'!H96</f>
        <v>177970</v>
      </c>
      <c r="Y96" s="29">
        <f>'4대보험'!J96</f>
        <v>23040</v>
      </c>
      <c r="Z96" s="29">
        <f>'4대보험'!L96</f>
        <v>45180</v>
      </c>
      <c r="AA96" s="29">
        <f>세금!P96</f>
        <v>312030</v>
      </c>
      <c r="AB96" s="29">
        <f>세금!Q96</f>
        <v>31200</v>
      </c>
      <c r="AC96" s="14">
        <v>0</v>
      </c>
      <c r="AD96" s="28">
        <f t="shared" si="7"/>
        <v>815340</v>
      </c>
      <c r="AE96" s="28">
        <f t="shared" si="8"/>
        <v>4705130</v>
      </c>
    </row>
    <row r="97" spans="1:31" x14ac:dyDescent="0.4">
      <c r="A97" s="23">
        <v>46266</v>
      </c>
      <c r="B97" s="17">
        <v>8</v>
      </c>
      <c r="C97" s="24" t="str">
        <f>직원정보!B12</f>
        <v>S0008</v>
      </c>
      <c r="D97" s="25" t="str">
        <f>직원정보!C12</f>
        <v>아름찬</v>
      </c>
      <c r="E97" s="24" t="str">
        <f>직원정보!D12</f>
        <v>SAP팀</v>
      </c>
      <c r="F97" s="24" t="str">
        <f>직원정보!E12</f>
        <v>차장</v>
      </c>
      <c r="G97" s="14">
        <v>3900000</v>
      </c>
      <c r="H97" s="26">
        <f>ROUND(G97/요율기준!$B$14,0)</f>
        <v>18660</v>
      </c>
      <c r="I97" s="27">
        <v>24</v>
      </c>
      <c r="J97" s="27">
        <v>5</v>
      </c>
      <c r="K97" s="14">
        <v>320000</v>
      </c>
      <c r="L97" s="26">
        <f>ROUND(H97*요율기준!$B$15*I97,0)</f>
        <v>671760</v>
      </c>
      <c r="M97" s="26">
        <f>ROUND(H97*요율기준!$B$16*J97,0)</f>
        <v>46650</v>
      </c>
      <c r="N97" s="14">
        <v>150000</v>
      </c>
      <c r="O97" s="14">
        <v>100000</v>
      </c>
      <c r="P97" s="14">
        <v>0</v>
      </c>
      <c r="Q97" s="14">
        <v>100000</v>
      </c>
      <c r="R97" s="14">
        <v>200000</v>
      </c>
      <c r="S97" s="14">
        <v>200000</v>
      </c>
      <c r="T97" s="28">
        <f t="shared" si="5"/>
        <v>5688410</v>
      </c>
      <c r="U97" s="26">
        <f>Q97+MIN(R97,요율기준!$B$17)+MIN(S97,요율기준!$B$18)</f>
        <v>500000</v>
      </c>
      <c r="V97" s="28">
        <f t="shared" si="6"/>
        <v>5188410</v>
      </c>
      <c r="W97" s="29">
        <f>'4대보험'!F97</f>
        <v>233470</v>
      </c>
      <c r="X97" s="29">
        <f>'4대보험'!H97</f>
        <v>183920</v>
      </c>
      <c r="Y97" s="29">
        <f>'4대보험'!J97</f>
        <v>23810</v>
      </c>
      <c r="Z97" s="29">
        <f>'4대보험'!L97</f>
        <v>46690</v>
      </c>
      <c r="AA97" s="29">
        <f>세금!P97</f>
        <v>333820</v>
      </c>
      <c r="AB97" s="29">
        <f>세금!Q97</f>
        <v>33380</v>
      </c>
      <c r="AC97" s="14">
        <v>0</v>
      </c>
      <c r="AD97" s="28">
        <f t="shared" si="7"/>
        <v>855090</v>
      </c>
      <c r="AE97" s="28">
        <f t="shared" si="8"/>
        <v>4833320</v>
      </c>
    </row>
    <row r="98" spans="1:31" x14ac:dyDescent="0.4">
      <c r="A98" s="23">
        <v>46296</v>
      </c>
      <c r="B98" s="17">
        <v>8</v>
      </c>
      <c r="C98" s="24" t="str">
        <f>직원정보!B12</f>
        <v>S0008</v>
      </c>
      <c r="D98" s="25" t="str">
        <f>직원정보!C12</f>
        <v>아름찬</v>
      </c>
      <c r="E98" s="24" t="str">
        <f>직원정보!D12</f>
        <v>SAP팀</v>
      </c>
      <c r="F98" s="24" t="str">
        <f>직원정보!E12</f>
        <v>차장</v>
      </c>
      <c r="G98" s="14">
        <v>3900000</v>
      </c>
      <c r="H98" s="26">
        <f>ROUND(G98/요율기준!$B$14,0)</f>
        <v>18660</v>
      </c>
      <c r="I98" s="27">
        <v>29</v>
      </c>
      <c r="J98" s="27">
        <v>8</v>
      </c>
      <c r="K98" s="14">
        <v>320000</v>
      </c>
      <c r="L98" s="26">
        <f>ROUND(H98*요율기준!$B$15*I98,0)</f>
        <v>811710</v>
      </c>
      <c r="M98" s="26">
        <f>ROUND(H98*요율기준!$B$16*J98,0)</f>
        <v>74640</v>
      </c>
      <c r="N98" s="14">
        <v>150000</v>
      </c>
      <c r="O98" s="14">
        <v>100000</v>
      </c>
      <c r="P98" s="14">
        <v>0</v>
      </c>
      <c r="Q98" s="14">
        <v>100000</v>
      </c>
      <c r="R98" s="14">
        <v>200000</v>
      </c>
      <c r="S98" s="14">
        <v>200000</v>
      </c>
      <c r="T98" s="28">
        <f t="shared" si="5"/>
        <v>5856350</v>
      </c>
      <c r="U98" s="26">
        <f>Q98+MIN(R98,요율기준!$B$17)+MIN(S98,요율기준!$B$18)</f>
        <v>500000</v>
      </c>
      <c r="V98" s="28">
        <f t="shared" si="6"/>
        <v>5356350</v>
      </c>
      <c r="W98" s="29">
        <f>'4대보험'!F98</f>
        <v>241030</v>
      </c>
      <c r="X98" s="29">
        <f>'4대보험'!H98</f>
        <v>189880</v>
      </c>
      <c r="Y98" s="29">
        <f>'4대보험'!J98</f>
        <v>24580</v>
      </c>
      <c r="Z98" s="29">
        <f>'4대보험'!L98</f>
        <v>48200</v>
      </c>
      <c r="AA98" s="29">
        <f>세금!P98</f>
        <v>355610</v>
      </c>
      <c r="AB98" s="29">
        <f>세금!Q98</f>
        <v>35560</v>
      </c>
      <c r="AC98" s="14">
        <v>0</v>
      </c>
      <c r="AD98" s="28">
        <f t="shared" si="7"/>
        <v>894860</v>
      </c>
      <c r="AE98" s="28">
        <f t="shared" si="8"/>
        <v>4961490</v>
      </c>
    </row>
    <row r="99" spans="1:31" x14ac:dyDescent="0.4">
      <c r="A99" s="23">
        <v>46327</v>
      </c>
      <c r="B99" s="17">
        <v>8</v>
      </c>
      <c r="C99" s="24" t="str">
        <f>직원정보!B12</f>
        <v>S0008</v>
      </c>
      <c r="D99" s="25" t="str">
        <f>직원정보!C12</f>
        <v>아름찬</v>
      </c>
      <c r="E99" s="24" t="str">
        <f>직원정보!D12</f>
        <v>SAP팀</v>
      </c>
      <c r="F99" s="24" t="str">
        <f>직원정보!E12</f>
        <v>차장</v>
      </c>
      <c r="G99" s="14">
        <v>3900000</v>
      </c>
      <c r="H99" s="26">
        <f>ROUND(G99/요율기준!$B$14,0)</f>
        <v>18660</v>
      </c>
      <c r="I99" s="27">
        <v>9</v>
      </c>
      <c r="J99" s="27">
        <v>11</v>
      </c>
      <c r="K99" s="14">
        <v>320000</v>
      </c>
      <c r="L99" s="26">
        <f>ROUND(H99*요율기준!$B$15*I99,0)</f>
        <v>251910</v>
      </c>
      <c r="M99" s="26">
        <f>ROUND(H99*요율기준!$B$16*J99,0)</f>
        <v>102630</v>
      </c>
      <c r="N99" s="14">
        <v>150000</v>
      </c>
      <c r="O99" s="14">
        <v>100000</v>
      </c>
      <c r="P99" s="14">
        <v>0</v>
      </c>
      <c r="Q99" s="14">
        <v>100000</v>
      </c>
      <c r="R99" s="14">
        <v>200000</v>
      </c>
      <c r="S99" s="14">
        <v>200000</v>
      </c>
      <c r="T99" s="28">
        <f t="shared" si="5"/>
        <v>5324540</v>
      </c>
      <c r="U99" s="26">
        <f>Q99+MIN(R99,요율기준!$B$17)+MIN(S99,요율기준!$B$18)</f>
        <v>500000</v>
      </c>
      <c r="V99" s="28">
        <f t="shared" si="6"/>
        <v>4824540</v>
      </c>
      <c r="W99" s="29">
        <f>'4대보험'!F99</f>
        <v>217100</v>
      </c>
      <c r="X99" s="29">
        <f>'4대보험'!H99</f>
        <v>171020</v>
      </c>
      <c r="Y99" s="29">
        <f>'4대보험'!J99</f>
        <v>22140</v>
      </c>
      <c r="Z99" s="29">
        <f>'4대보험'!L99</f>
        <v>43420</v>
      </c>
      <c r="AA99" s="29">
        <f>세금!P99</f>
        <v>286600</v>
      </c>
      <c r="AB99" s="29">
        <f>세금!Q99</f>
        <v>28660</v>
      </c>
      <c r="AC99" s="14">
        <v>0</v>
      </c>
      <c r="AD99" s="28">
        <f t="shared" si="7"/>
        <v>768940</v>
      </c>
      <c r="AE99" s="28">
        <f t="shared" si="8"/>
        <v>4555600</v>
      </c>
    </row>
    <row r="100" spans="1:31" x14ac:dyDescent="0.4">
      <c r="A100" s="23">
        <v>46357</v>
      </c>
      <c r="B100" s="17">
        <v>8</v>
      </c>
      <c r="C100" s="24" t="str">
        <f>직원정보!B12</f>
        <v>S0008</v>
      </c>
      <c r="D100" s="25" t="str">
        <f>직원정보!C12</f>
        <v>아름찬</v>
      </c>
      <c r="E100" s="24" t="str">
        <f>직원정보!D12</f>
        <v>SAP팀</v>
      </c>
      <c r="F100" s="24" t="str">
        <f>직원정보!E12</f>
        <v>차장</v>
      </c>
      <c r="G100" s="14">
        <v>3900000</v>
      </c>
      <c r="H100" s="26">
        <f>ROUND(G100/요율기준!$B$14,0)</f>
        <v>18660</v>
      </c>
      <c r="I100" s="27">
        <v>14</v>
      </c>
      <c r="J100" s="27">
        <v>2</v>
      </c>
      <c r="K100" s="14">
        <v>320000</v>
      </c>
      <c r="L100" s="26">
        <f>ROUND(H100*요율기준!$B$15*I100,0)</f>
        <v>391860</v>
      </c>
      <c r="M100" s="26">
        <f>ROUND(H100*요율기준!$B$16*J100,0)</f>
        <v>18660</v>
      </c>
      <c r="N100" s="14">
        <v>150000</v>
      </c>
      <c r="O100" s="14">
        <v>100000</v>
      </c>
      <c r="P100" s="14">
        <v>0</v>
      </c>
      <c r="Q100" s="14">
        <v>100000</v>
      </c>
      <c r="R100" s="14">
        <v>200000</v>
      </c>
      <c r="S100" s="14">
        <v>200000</v>
      </c>
      <c r="T100" s="28">
        <f t="shared" si="5"/>
        <v>5380520</v>
      </c>
      <c r="U100" s="26">
        <f>Q100+MIN(R100,요율기준!$B$17)+MIN(S100,요율기준!$B$18)</f>
        <v>500000</v>
      </c>
      <c r="V100" s="28">
        <f t="shared" si="6"/>
        <v>4880520</v>
      </c>
      <c r="W100" s="29">
        <f>'4대보험'!F100</f>
        <v>219620</v>
      </c>
      <c r="X100" s="29">
        <f>'4대보험'!H100</f>
        <v>173010</v>
      </c>
      <c r="Y100" s="29">
        <f>'4대보험'!J100</f>
        <v>22400</v>
      </c>
      <c r="Z100" s="29">
        <f>'4대보험'!L100</f>
        <v>43920</v>
      </c>
      <c r="AA100" s="29">
        <f>세금!P100</f>
        <v>293870</v>
      </c>
      <c r="AB100" s="29">
        <f>세금!Q100</f>
        <v>29380</v>
      </c>
      <c r="AC100" s="14">
        <v>0</v>
      </c>
      <c r="AD100" s="28">
        <f t="shared" si="7"/>
        <v>782200</v>
      </c>
      <c r="AE100" s="28">
        <f t="shared" si="8"/>
        <v>4598320</v>
      </c>
    </row>
    <row r="101" spans="1:31" x14ac:dyDescent="0.4">
      <c r="A101" s="23">
        <v>46023</v>
      </c>
      <c r="B101" s="17">
        <v>9</v>
      </c>
      <c r="C101" s="24" t="str">
        <f>직원정보!B13</f>
        <v>S0009</v>
      </c>
      <c r="D101" s="25" t="str">
        <f>직원정보!C13</f>
        <v>자유롬</v>
      </c>
      <c r="E101" s="24" t="str">
        <f>직원정보!D13</f>
        <v>C&amp;M 1팀</v>
      </c>
      <c r="F101" s="24" t="str">
        <f>직원정보!E13</f>
        <v>과장</v>
      </c>
      <c r="G101" s="14">
        <v>3500000</v>
      </c>
      <c r="H101" s="26">
        <f>ROUND(G101/요율기준!$B$14,0)</f>
        <v>16746</v>
      </c>
      <c r="I101" s="27">
        <v>12</v>
      </c>
      <c r="J101" s="27">
        <v>7</v>
      </c>
      <c r="K101" s="14">
        <v>300000</v>
      </c>
      <c r="L101" s="26">
        <f>ROUND(H101*요율기준!$B$15*I101,0)</f>
        <v>301428</v>
      </c>
      <c r="M101" s="26">
        <f>ROUND(H101*요율기준!$B$16*J101,0)</f>
        <v>58611</v>
      </c>
      <c r="N101" s="14">
        <v>100000</v>
      </c>
      <c r="O101" s="14">
        <v>100000</v>
      </c>
      <c r="P101" s="14">
        <v>100000</v>
      </c>
      <c r="Q101" s="14">
        <v>100000</v>
      </c>
      <c r="R101" s="14">
        <v>200000</v>
      </c>
      <c r="S101" s="14">
        <v>200000</v>
      </c>
      <c r="T101" s="28">
        <f t="shared" si="5"/>
        <v>4960039</v>
      </c>
      <c r="U101" s="26">
        <f>Q101+MIN(R101,요율기준!$B$17)+MIN(S101,요율기준!$B$18)</f>
        <v>500000</v>
      </c>
      <c r="V101" s="28">
        <f t="shared" si="6"/>
        <v>4460039</v>
      </c>
      <c r="W101" s="29">
        <f>'4대보험'!F101</f>
        <v>200700</v>
      </c>
      <c r="X101" s="29">
        <f>'4대보험'!H101</f>
        <v>158100</v>
      </c>
      <c r="Y101" s="29">
        <f>'4대보험'!J101</f>
        <v>20470</v>
      </c>
      <c r="Z101" s="29">
        <f>'4대보험'!L101</f>
        <v>40140</v>
      </c>
      <c r="AA101" s="29">
        <f>세금!P101</f>
        <v>239310</v>
      </c>
      <c r="AB101" s="29">
        <f>세금!Q101</f>
        <v>23930</v>
      </c>
      <c r="AC101" s="14">
        <v>0</v>
      </c>
      <c r="AD101" s="28">
        <f t="shared" si="7"/>
        <v>682650</v>
      </c>
      <c r="AE101" s="28">
        <f t="shared" si="8"/>
        <v>4277389</v>
      </c>
    </row>
    <row r="102" spans="1:31" x14ac:dyDescent="0.4">
      <c r="A102" s="23">
        <v>46054</v>
      </c>
      <c r="B102" s="17">
        <v>9</v>
      </c>
      <c r="C102" s="24" t="str">
        <f>직원정보!B13</f>
        <v>S0009</v>
      </c>
      <c r="D102" s="25" t="str">
        <f>직원정보!C13</f>
        <v>자유롬</v>
      </c>
      <c r="E102" s="24" t="str">
        <f>직원정보!D13</f>
        <v>C&amp;M 1팀</v>
      </c>
      <c r="F102" s="24" t="str">
        <f>직원정보!E13</f>
        <v>과장</v>
      </c>
      <c r="G102" s="14">
        <v>3500000</v>
      </c>
      <c r="H102" s="26">
        <f>ROUND(G102/요율기준!$B$14,0)</f>
        <v>16746</v>
      </c>
      <c r="I102" s="27">
        <v>17</v>
      </c>
      <c r="J102" s="27">
        <v>10</v>
      </c>
      <c r="K102" s="14">
        <v>300000</v>
      </c>
      <c r="L102" s="26">
        <f>ROUND(H102*요율기준!$B$15*I102,0)</f>
        <v>427023</v>
      </c>
      <c r="M102" s="26">
        <f>ROUND(H102*요율기준!$B$16*J102,0)</f>
        <v>83730</v>
      </c>
      <c r="N102" s="14">
        <v>100000</v>
      </c>
      <c r="O102" s="14">
        <v>100000</v>
      </c>
      <c r="P102" s="14">
        <v>100000</v>
      </c>
      <c r="Q102" s="14">
        <v>100000</v>
      </c>
      <c r="R102" s="14">
        <v>200000</v>
      </c>
      <c r="S102" s="14">
        <v>200000</v>
      </c>
      <c r="T102" s="28">
        <f t="shared" si="5"/>
        <v>5110753</v>
      </c>
      <c r="U102" s="26">
        <f>Q102+MIN(R102,요율기준!$B$17)+MIN(S102,요율기준!$B$18)</f>
        <v>500000</v>
      </c>
      <c r="V102" s="28">
        <f t="shared" si="6"/>
        <v>4610753</v>
      </c>
      <c r="W102" s="29">
        <f>'4대보험'!F102</f>
        <v>207480</v>
      </c>
      <c r="X102" s="29">
        <f>'4대보험'!H102</f>
        <v>163450</v>
      </c>
      <c r="Y102" s="29">
        <f>'4대보험'!J102</f>
        <v>21160</v>
      </c>
      <c r="Z102" s="29">
        <f>'4대보험'!L102</f>
        <v>41490</v>
      </c>
      <c r="AA102" s="29">
        <f>세금!P102</f>
        <v>258870</v>
      </c>
      <c r="AB102" s="29">
        <f>세금!Q102</f>
        <v>25880</v>
      </c>
      <c r="AC102" s="14">
        <v>0</v>
      </c>
      <c r="AD102" s="28">
        <f t="shared" si="7"/>
        <v>718330</v>
      </c>
      <c r="AE102" s="28">
        <f t="shared" si="8"/>
        <v>4392423</v>
      </c>
    </row>
    <row r="103" spans="1:31" x14ac:dyDescent="0.4">
      <c r="A103" s="23">
        <v>46082</v>
      </c>
      <c r="B103" s="17">
        <v>9</v>
      </c>
      <c r="C103" s="24" t="str">
        <f>직원정보!B13</f>
        <v>S0009</v>
      </c>
      <c r="D103" s="25" t="str">
        <f>직원정보!C13</f>
        <v>자유롬</v>
      </c>
      <c r="E103" s="24" t="str">
        <f>직원정보!D13</f>
        <v>C&amp;M 1팀</v>
      </c>
      <c r="F103" s="24" t="str">
        <f>직원정보!E13</f>
        <v>과장</v>
      </c>
      <c r="G103" s="14">
        <v>3500000</v>
      </c>
      <c r="H103" s="26">
        <f>ROUND(G103/요율기준!$B$14,0)</f>
        <v>16746</v>
      </c>
      <c r="I103" s="27">
        <v>22</v>
      </c>
      <c r="J103" s="27">
        <v>1</v>
      </c>
      <c r="K103" s="14">
        <v>300000</v>
      </c>
      <c r="L103" s="26">
        <f>ROUND(H103*요율기준!$B$15*I103,0)</f>
        <v>552618</v>
      </c>
      <c r="M103" s="26">
        <f>ROUND(H103*요율기준!$B$16*J103,0)</f>
        <v>8373</v>
      </c>
      <c r="N103" s="14">
        <v>100000</v>
      </c>
      <c r="O103" s="14">
        <v>100000</v>
      </c>
      <c r="P103" s="14">
        <v>100000</v>
      </c>
      <c r="Q103" s="14">
        <v>100000</v>
      </c>
      <c r="R103" s="14">
        <v>200000</v>
      </c>
      <c r="S103" s="14">
        <v>200000</v>
      </c>
      <c r="T103" s="28">
        <f t="shared" si="5"/>
        <v>5160991</v>
      </c>
      <c r="U103" s="26">
        <f>Q103+MIN(R103,요율기준!$B$17)+MIN(S103,요율기준!$B$18)</f>
        <v>500000</v>
      </c>
      <c r="V103" s="28">
        <f t="shared" si="6"/>
        <v>4660991</v>
      </c>
      <c r="W103" s="29">
        <f>'4대보험'!F103</f>
        <v>209740</v>
      </c>
      <c r="X103" s="29">
        <f>'4대보험'!H103</f>
        <v>165230</v>
      </c>
      <c r="Y103" s="29">
        <f>'4대보험'!J103</f>
        <v>21390</v>
      </c>
      <c r="Z103" s="29">
        <f>'4대보험'!L103</f>
        <v>41940</v>
      </c>
      <c r="AA103" s="29">
        <f>세금!P103</f>
        <v>265380</v>
      </c>
      <c r="AB103" s="29">
        <f>세금!Q103</f>
        <v>26530</v>
      </c>
      <c r="AC103" s="14">
        <v>0</v>
      </c>
      <c r="AD103" s="28">
        <f t="shared" si="7"/>
        <v>730210</v>
      </c>
      <c r="AE103" s="28">
        <f t="shared" si="8"/>
        <v>4430781</v>
      </c>
    </row>
    <row r="104" spans="1:31" x14ac:dyDescent="0.4">
      <c r="A104" s="23">
        <v>46113</v>
      </c>
      <c r="B104" s="17">
        <v>9</v>
      </c>
      <c r="C104" s="24" t="str">
        <f>직원정보!B13</f>
        <v>S0009</v>
      </c>
      <c r="D104" s="25" t="str">
        <f>직원정보!C13</f>
        <v>자유롬</v>
      </c>
      <c r="E104" s="24" t="str">
        <f>직원정보!D13</f>
        <v>C&amp;M 1팀</v>
      </c>
      <c r="F104" s="24" t="str">
        <f>직원정보!E13</f>
        <v>과장</v>
      </c>
      <c r="G104" s="14">
        <v>3500000</v>
      </c>
      <c r="H104" s="26">
        <f>ROUND(G104/요율기준!$B$14,0)</f>
        <v>16746</v>
      </c>
      <c r="I104" s="27">
        <v>27</v>
      </c>
      <c r="J104" s="27">
        <v>4</v>
      </c>
      <c r="K104" s="14">
        <v>300000</v>
      </c>
      <c r="L104" s="26">
        <f>ROUND(H104*요율기준!$B$15*I104,0)</f>
        <v>678213</v>
      </c>
      <c r="M104" s="26">
        <f>ROUND(H104*요율기준!$B$16*J104,0)</f>
        <v>33492</v>
      </c>
      <c r="N104" s="14">
        <v>100000</v>
      </c>
      <c r="O104" s="14">
        <v>100000</v>
      </c>
      <c r="P104" s="14">
        <v>100000</v>
      </c>
      <c r="Q104" s="14">
        <v>100000</v>
      </c>
      <c r="R104" s="14">
        <v>200000</v>
      </c>
      <c r="S104" s="14">
        <v>200000</v>
      </c>
      <c r="T104" s="28">
        <f t="shared" si="5"/>
        <v>5311705</v>
      </c>
      <c r="U104" s="26">
        <f>Q104+MIN(R104,요율기준!$B$17)+MIN(S104,요율기준!$B$18)</f>
        <v>500000</v>
      </c>
      <c r="V104" s="28">
        <f t="shared" si="6"/>
        <v>4811705</v>
      </c>
      <c r="W104" s="29">
        <f>'4대보험'!F104</f>
        <v>216520</v>
      </c>
      <c r="X104" s="29">
        <f>'4대보험'!H104</f>
        <v>170570</v>
      </c>
      <c r="Y104" s="29">
        <f>'4대보험'!J104</f>
        <v>22080</v>
      </c>
      <c r="Z104" s="29">
        <f>'4대보험'!L104</f>
        <v>43300</v>
      </c>
      <c r="AA104" s="29">
        <f>세금!P104</f>
        <v>284940</v>
      </c>
      <c r="AB104" s="29">
        <f>세금!Q104</f>
        <v>28490</v>
      </c>
      <c r="AC104" s="14">
        <v>0</v>
      </c>
      <c r="AD104" s="28">
        <f t="shared" si="7"/>
        <v>765900</v>
      </c>
      <c r="AE104" s="28">
        <f t="shared" si="8"/>
        <v>4545805</v>
      </c>
    </row>
    <row r="105" spans="1:31" x14ac:dyDescent="0.4">
      <c r="A105" s="23">
        <v>46143</v>
      </c>
      <c r="B105" s="17">
        <v>9</v>
      </c>
      <c r="C105" s="24" t="str">
        <f>직원정보!B13</f>
        <v>S0009</v>
      </c>
      <c r="D105" s="25" t="str">
        <f>직원정보!C13</f>
        <v>자유롬</v>
      </c>
      <c r="E105" s="24" t="str">
        <f>직원정보!D13</f>
        <v>C&amp;M 1팀</v>
      </c>
      <c r="F105" s="24" t="str">
        <f>직원정보!E13</f>
        <v>과장</v>
      </c>
      <c r="G105" s="14">
        <v>3500000</v>
      </c>
      <c r="H105" s="26">
        <f>ROUND(G105/요율기준!$B$14,0)</f>
        <v>16746</v>
      </c>
      <c r="I105" s="27">
        <v>32</v>
      </c>
      <c r="J105" s="27">
        <v>7</v>
      </c>
      <c r="K105" s="14">
        <v>300000</v>
      </c>
      <c r="L105" s="26">
        <f>ROUND(H105*요율기준!$B$15*I105,0)</f>
        <v>803808</v>
      </c>
      <c r="M105" s="26">
        <f>ROUND(H105*요율기준!$B$16*J105,0)</f>
        <v>58611</v>
      </c>
      <c r="N105" s="14">
        <v>100000</v>
      </c>
      <c r="O105" s="14">
        <v>100000</v>
      </c>
      <c r="P105" s="14">
        <v>100000</v>
      </c>
      <c r="Q105" s="14">
        <v>100000</v>
      </c>
      <c r="R105" s="14">
        <v>200000</v>
      </c>
      <c r="S105" s="14">
        <v>200000</v>
      </c>
      <c r="T105" s="28">
        <f t="shared" si="5"/>
        <v>5462419</v>
      </c>
      <c r="U105" s="26">
        <f>Q105+MIN(R105,요율기준!$B$17)+MIN(S105,요율기준!$B$18)</f>
        <v>500000</v>
      </c>
      <c r="V105" s="28">
        <f t="shared" si="6"/>
        <v>4962419</v>
      </c>
      <c r="W105" s="29">
        <f>'4대보험'!F105</f>
        <v>223300</v>
      </c>
      <c r="X105" s="29">
        <f>'4대보험'!H105</f>
        <v>175910</v>
      </c>
      <c r="Y105" s="29">
        <f>'4대보험'!J105</f>
        <v>22780</v>
      </c>
      <c r="Z105" s="29">
        <f>'4대보험'!L105</f>
        <v>44660</v>
      </c>
      <c r="AA105" s="29">
        <f>세금!P105</f>
        <v>304500</v>
      </c>
      <c r="AB105" s="29">
        <f>세금!Q105</f>
        <v>30450</v>
      </c>
      <c r="AC105" s="14">
        <v>0</v>
      </c>
      <c r="AD105" s="28">
        <f t="shared" si="7"/>
        <v>801600</v>
      </c>
      <c r="AE105" s="28">
        <f t="shared" si="8"/>
        <v>4660819</v>
      </c>
    </row>
    <row r="106" spans="1:31" x14ac:dyDescent="0.4">
      <c r="A106" s="23">
        <v>46174</v>
      </c>
      <c r="B106" s="17">
        <v>9</v>
      </c>
      <c r="C106" s="24" t="str">
        <f>직원정보!B13</f>
        <v>S0009</v>
      </c>
      <c r="D106" s="25" t="str">
        <f>직원정보!C13</f>
        <v>자유롬</v>
      </c>
      <c r="E106" s="24" t="str">
        <f>직원정보!D13</f>
        <v>C&amp;M 1팀</v>
      </c>
      <c r="F106" s="24" t="str">
        <f>직원정보!E13</f>
        <v>과장</v>
      </c>
      <c r="G106" s="14">
        <v>3500000</v>
      </c>
      <c r="H106" s="26">
        <f>ROUND(G106/요율기준!$B$14,0)</f>
        <v>16746</v>
      </c>
      <c r="I106" s="27">
        <v>12</v>
      </c>
      <c r="J106" s="27">
        <v>10</v>
      </c>
      <c r="K106" s="14">
        <v>300000</v>
      </c>
      <c r="L106" s="26">
        <f>ROUND(H106*요율기준!$B$15*I106,0)</f>
        <v>301428</v>
      </c>
      <c r="M106" s="26">
        <f>ROUND(H106*요율기준!$B$16*J106,0)</f>
        <v>83730</v>
      </c>
      <c r="N106" s="14">
        <v>100000</v>
      </c>
      <c r="O106" s="14">
        <v>100000</v>
      </c>
      <c r="P106" s="14">
        <v>100000</v>
      </c>
      <c r="Q106" s="14">
        <v>100000</v>
      </c>
      <c r="R106" s="14">
        <v>200000</v>
      </c>
      <c r="S106" s="14">
        <v>200000</v>
      </c>
      <c r="T106" s="28">
        <f t="shared" si="5"/>
        <v>4985158</v>
      </c>
      <c r="U106" s="26">
        <f>Q106+MIN(R106,요율기준!$B$17)+MIN(S106,요율기준!$B$18)</f>
        <v>500000</v>
      </c>
      <c r="V106" s="28">
        <f t="shared" si="6"/>
        <v>4485158</v>
      </c>
      <c r="W106" s="29">
        <f>'4대보험'!F106</f>
        <v>201830</v>
      </c>
      <c r="X106" s="29">
        <f>'4대보험'!H106</f>
        <v>158990</v>
      </c>
      <c r="Y106" s="29">
        <f>'4대보험'!J106</f>
        <v>20580</v>
      </c>
      <c r="Z106" s="29">
        <f>'4대보험'!L106</f>
        <v>40360</v>
      </c>
      <c r="AA106" s="29">
        <f>세금!P106</f>
        <v>242570</v>
      </c>
      <c r="AB106" s="29">
        <f>세금!Q106</f>
        <v>24250</v>
      </c>
      <c r="AC106" s="14">
        <v>0</v>
      </c>
      <c r="AD106" s="28">
        <f t="shared" si="7"/>
        <v>688580</v>
      </c>
      <c r="AE106" s="28">
        <f t="shared" si="8"/>
        <v>4296578</v>
      </c>
    </row>
    <row r="107" spans="1:31" x14ac:dyDescent="0.4">
      <c r="A107" s="23">
        <v>46204</v>
      </c>
      <c r="B107" s="17">
        <v>9</v>
      </c>
      <c r="C107" s="24" t="str">
        <f>직원정보!B13</f>
        <v>S0009</v>
      </c>
      <c r="D107" s="25" t="str">
        <f>직원정보!C13</f>
        <v>자유롬</v>
      </c>
      <c r="E107" s="24" t="str">
        <f>직원정보!D13</f>
        <v>C&amp;M 1팀</v>
      </c>
      <c r="F107" s="24" t="str">
        <f>직원정보!E13</f>
        <v>과장</v>
      </c>
      <c r="G107" s="14">
        <v>3500000</v>
      </c>
      <c r="H107" s="26">
        <f>ROUND(G107/요율기준!$B$14,0)</f>
        <v>16746</v>
      </c>
      <c r="I107" s="27">
        <v>17</v>
      </c>
      <c r="J107" s="27">
        <v>1</v>
      </c>
      <c r="K107" s="14">
        <v>300000</v>
      </c>
      <c r="L107" s="26">
        <f>ROUND(H107*요율기준!$B$15*I107,0)</f>
        <v>427023</v>
      </c>
      <c r="M107" s="26">
        <f>ROUND(H107*요율기준!$B$16*J107,0)</f>
        <v>8373</v>
      </c>
      <c r="N107" s="14">
        <v>100000</v>
      </c>
      <c r="O107" s="14">
        <v>100000</v>
      </c>
      <c r="P107" s="14">
        <v>100000</v>
      </c>
      <c r="Q107" s="14">
        <v>100000</v>
      </c>
      <c r="R107" s="14">
        <v>200000</v>
      </c>
      <c r="S107" s="14">
        <v>200000</v>
      </c>
      <c r="T107" s="28">
        <f t="shared" si="5"/>
        <v>5035396</v>
      </c>
      <c r="U107" s="26">
        <f>Q107+MIN(R107,요율기준!$B$17)+MIN(S107,요율기준!$B$18)</f>
        <v>500000</v>
      </c>
      <c r="V107" s="28">
        <f t="shared" si="6"/>
        <v>4535396</v>
      </c>
      <c r="W107" s="29">
        <f>'4대보험'!F107</f>
        <v>204090</v>
      </c>
      <c r="X107" s="29">
        <f>'4대보험'!H107</f>
        <v>160770</v>
      </c>
      <c r="Y107" s="29">
        <f>'4대보험'!J107</f>
        <v>20810</v>
      </c>
      <c r="Z107" s="29">
        <f>'4대보험'!L107</f>
        <v>40810</v>
      </c>
      <c r="AA107" s="29">
        <f>세금!P107</f>
        <v>249090</v>
      </c>
      <c r="AB107" s="29">
        <f>세금!Q107</f>
        <v>24900</v>
      </c>
      <c r="AC107" s="14">
        <v>0</v>
      </c>
      <c r="AD107" s="28">
        <f t="shared" si="7"/>
        <v>700470</v>
      </c>
      <c r="AE107" s="28">
        <f t="shared" si="8"/>
        <v>4334926</v>
      </c>
    </row>
    <row r="108" spans="1:31" x14ac:dyDescent="0.4">
      <c r="A108" s="23">
        <v>46235</v>
      </c>
      <c r="B108" s="17">
        <v>9</v>
      </c>
      <c r="C108" s="24" t="str">
        <f>직원정보!B13</f>
        <v>S0009</v>
      </c>
      <c r="D108" s="25" t="str">
        <f>직원정보!C13</f>
        <v>자유롬</v>
      </c>
      <c r="E108" s="24" t="str">
        <f>직원정보!D13</f>
        <v>C&amp;M 1팀</v>
      </c>
      <c r="F108" s="24" t="str">
        <f>직원정보!E13</f>
        <v>과장</v>
      </c>
      <c r="G108" s="14">
        <v>3500000</v>
      </c>
      <c r="H108" s="26">
        <f>ROUND(G108/요율기준!$B$14,0)</f>
        <v>16746</v>
      </c>
      <c r="I108" s="27">
        <v>22</v>
      </c>
      <c r="J108" s="27">
        <v>4</v>
      </c>
      <c r="K108" s="14">
        <v>300000</v>
      </c>
      <c r="L108" s="26">
        <f>ROUND(H108*요율기준!$B$15*I108,0)</f>
        <v>552618</v>
      </c>
      <c r="M108" s="26">
        <f>ROUND(H108*요율기준!$B$16*J108,0)</f>
        <v>33492</v>
      </c>
      <c r="N108" s="14">
        <v>100000</v>
      </c>
      <c r="O108" s="14">
        <v>100000</v>
      </c>
      <c r="P108" s="14">
        <v>100000</v>
      </c>
      <c r="Q108" s="14">
        <v>100000</v>
      </c>
      <c r="R108" s="14">
        <v>200000</v>
      </c>
      <c r="S108" s="14">
        <v>200000</v>
      </c>
      <c r="T108" s="28">
        <f t="shared" si="5"/>
        <v>5186110</v>
      </c>
      <c r="U108" s="26">
        <f>Q108+MIN(R108,요율기준!$B$17)+MIN(S108,요율기준!$B$18)</f>
        <v>500000</v>
      </c>
      <c r="V108" s="28">
        <f t="shared" si="6"/>
        <v>4686110</v>
      </c>
      <c r="W108" s="29">
        <f>'4대보험'!F108</f>
        <v>210870</v>
      </c>
      <c r="X108" s="29">
        <f>'4대보험'!H108</f>
        <v>166120</v>
      </c>
      <c r="Y108" s="29">
        <f>'4대보험'!J108</f>
        <v>21510</v>
      </c>
      <c r="Z108" s="29">
        <f>'4대보험'!L108</f>
        <v>42170</v>
      </c>
      <c r="AA108" s="29">
        <f>세금!P108</f>
        <v>268640</v>
      </c>
      <c r="AB108" s="29">
        <f>세금!Q108</f>
        <v>26860</v>
      </c>
      <c r="AC108" s="14">
        <v>0</v>
      </c>
      <c r="AD108" s="28">
        <f t="shared" si="7"/>
        <v>736170</v>
      </c>
      <c r="AE108" s="28">
        <f t="shared" si="8"/>
        <v>4449940</v>
      </c>
    </row>
    <row r="109" spans="1:31" x14ac:dyDescent="0.4">
      <c r="A109" s="23">
        <v>46266</v>
      </c>
      <c r="B109" s="17">
        <v>9</v>
      </c>
      <c r="C109" s="24" t="str">
        <f>직원정보!B13</f>
        <v>S0009</v>
      </c>
      <c r="D109" s="25" t="str">
        <f>직원정보!C13</f>
        <v>자유롬</v>
      </c>
      <c r="E109" s="24" t="str">
        <f>직원정보!D13</f>
        <v>C&amp;M 1팀</v>
      </c>
      <c r="F109" s="24" t="str">
        <f>직원정보!E13</f>
        <v>과장</v>
      </c>
      <c r="G109" s="14">
        <v>3500000</v>
      </c>
      <c r="H109" s="26">
        <f>ROUND(G109/요율기준!$B$14,0)</f>
        <v>16746</v>
      </c>
      <c r="I109" s="27">
        <v>27</v>
      </c>
      <c r="J109" s="27">
        <v>7</v>
      </c>
      <c r="K109" s="14">
        <v>300000</v>
      </c>
      <c r="L109" s="26">
        <f>ROUND(H109*요율기준!$B$15*I109,0)</f>
        <v>678213</v>
      </c>
      <c r="M109" s="26">
        <f>ROUND(H109*요율기준!$B$16*J109,0)</f>
        <v>58611</v>
      </c>
      <c r="N109" s="14">
        <v>100000</v>
      </c>
      <c r="O109" s="14">
        <v>100000</v>
      </c>
      <c r="P109" s="14">
        <v>100000</v>
      </c>
      <c r="Q109" s="14">
        <v>100000</v>
      </c>
      <c r="R109" s="14">
        <v>200000</v>
      </c>
      <c r="S109" s="14">
        <v>200000</v>
      </c>
      <c r="T109" s="28">
        <f t="shared" si="5"/>
        <v>5336824</v>
      </c>
      <c r="U109" s="26">
        <f>Q109+MIN(R109,요율기준!$B$17)+MIN(S109,요율기준!$B$18)</f>
        <v>500000</v>
      </c>
      <c r="V109" s="28">
        <f t="shared" si="6"/>
        <v>4836824</v>
      </c>
      <c r="W109" s="29">
        <f>'4대보험'!F109</f>
        <v>217650</v>
      </c>
      <c r="X109" s="29">
        <f>'4대보험'!H109</f>
        <v>171460</v>
      </c>
      <c r="Y109" s="29">
        <f>'4대보험'!J109</f>
        <v>22200</v>
      </c>
      <c r="Z109" s="29">
        <f>'4대보험'!L109</f>
        <v>43530</v>
      </c>
      <c r="AA109" s="29">
        <f>세금!P109</f>
        <v>288200</v>
      </c>
      <c r="AB109" s="29">
        <f>세금!Q109</f>
        <v>28820</v>
      </c>
      <c r="AC109" s="14">
        <v>0</v>
      </c>
      <c r="AD109" s="28">
        <f t="shared" si="7"/>
        <v>771860</v>
      </c>
      <c r="AE109" s="28">
        <f t="shared" si="8"/>
        <v>4564964</v>
      </c>
    </row>
    <row r="110" spans="1:31" x14ac:dyDescent="0.4">
      <c r="A110" s="23">
        <v>46296</v>
      </c>
      <c r="B110" s="17">
        <v>9</v>
      </c>
      <c r="C110" s="24" t="str">
        <f>직원정보!B13</f>
        <v>S0009</v>
      </c>
      <c r="D110" s="25" t="str">
        <f>직원정보!C13</f>
        <v>자유롬</v>
      </c>
      <c r="E110" s="24" t="str">
        <f>직원정보!D13</f>
        <v>C&amp;M 1팀</v>
      </c>
      <c r="F110" s="24" t="str">
        <f>직원정보!E13</f>
        <v>과장</v>
      </c>
      <c r="G110" s="14">
        <v>3500000</v>
      </c>
      <c r="H110" s="26">
        <f>ROUND(G110/요율기준!$B$14,0)</f>
        <v>16746</v>
      </c>
      <c r="I110" s="27">
        <v>32</v>
      </c>
      <c r="J110" s="27">
        <v>10</v>
      </c>
      <c r="K110" s="14">
        <v>300000</v>
      </c>
      <c r="L110" s="26">
        <f>ROUND(H110*요율기준!$B$15*I110,0)</f>
        <v>803808</v>
      </c>
      <c r="M110" s="26">
        <f>ROUND(H110*요율기준!$B$16*J110,0)</f>
        <v>83730</v>
      </c>
      <c r="N110" s="14">
        <v>100000</v>
      </c>
      <c r="O110" s="14">
        <v>100000</v>
      </c>
      <c r="P110" s="14">
        <v>100000</v>
      </c>
      <c r="Q110" s="14">
        <v>100000</v>
      </c>
      <c r="R110" s="14">
        <v>200000</v>
      </c>
      <c r="S110" s="14">
        <v>200000</v>
      </c>
      <c r="T110" s="28">
        <f t="shared" si="5"/>
        <v>5487538</v>
      </c>
      <c r="U110" s="26">
        <f>Q110+MIN(R110,요율기준!$B$17)+MIN(S110,요율기준!$B$18)</f>
        <v>500000</v>
      </c>
      <c r="V110" s="28">
        <f t="shared" si="6"/>
        <v>4987538</v>
      </c>
      <c r="W110" s="29">
        <f>'4대보험'!F110</f>
        <v>224430</v>
      </c>
      <c r="X110" s="29">
        <f>'4대보험'!H110</f>
        <v>176800</v>
      </c>
      <c r="Y110" s="29">
        <f>'4대보험'!J110</f>
        <v>22890</v>
      </c>
      <c r="Z110" s="29">
        <f>'4대보험'!L110</f>
        <v>44880</v>
      </c>
      <c r="AA110" s="29">
        <f>세금!P110</f>
        <v>307750</v>
      </c>
      <c r="AB110" s="29">
        <f>세금!Q110</f>
        <v>30770</v>
      </c>
      <c r="AC110" s="14">
        <v>0</v>
      </c>
      <c r="AD110" s="28">
        <f t="shared" si="7"/>
        <v>807520</v>
      </c>
      <c r="AE110" s="28">
        <f t="shared" si="8"/>
        <v>4680018</v>
      </c>
    </row>
    <row r="111" spans="1:31" x14ac:dyDescent="0.4">
      <c r="A111" s="23">
        <v>46327</v>
      </c>
      <c r="B111" s="17">
        <v>9</v>
      </c>
      <c r="C111" s="24" t="str">
        <f>직원정보!B13</f>
        <v>S0009</v>
      </c>
      <c r="D111" s="25" t="str">
        <f>직원정보!C13</f>
        <v>자유롬</v>
      </c>
      <c r="E111" s="24" t="str">
        <f>직원정보!D13</f>
        <v>C&amp;M 1팀</v>
      </c>
      <c r="F111" s="24" t="str">
        <f>직원정보!E13</f>
        <v>과장</v>
      </c>
      <c r="G111" s="14">
        <v>3500000</v>
      </c>
      <c r="H111" s="26">
        <f>ROUND(G111/요율기준!$B$14,0)</f>
        <v>16746</v>
      </c>
      <c r="I111" s="27">
        <v>12</v>
      </c>
      <c r="J111" s="27">
        <v>1</v>
      </c>
      <c r="K111" s="14">
        <v>300000</v>
      </c>
      <c r="L111" s="26">
        <f>ROUND(H111*요율기준!$B$15*I111,0)</f>
        <v>301428</v>
      </c>
      <c r="M111" s="26">
        <f>ROUND(H111*요율기준!$B$16*J111,0)</f>
        <v>8373</v>
      </c>
      <c r="N111" s="14">
        <v>100000</v>
      </c>
      <c r="O111" s="14">
        <v>100000</v>
      </c>
      <c r="P111" s="14">
        <v>100000</v>
      </c>
      <c r="Q111" s="14">
        <v>100000</v>
      </c>
      <c r="R111" s="14">
        <v>200000</v>
      </c>
      <c r="S111" s="14">
        <v>200000</v>
      </c>
      <c r="T111" s="28">
        <f t="shared" si="5"/>
        <v>4909801</v>
      </c>
      <c r="U111" s="26">
        <f>Q111+MIN(R111,요율기준!$B$17)+MIN(S111,요율기준!$B$18)</f>
        <v>500000</v>
      </c>
      <c r="V111" s="28">
        <f t="shared" si="6"/>
        <v>4409801</v>
      </c>
      <c r="W111" s="29">
        <f>'4대보험'!F111</f>
        <v>198440</v>
      </c>
      <c r="X111" s="29">
        <f>'4대보험'!H111</f>
        <v>156320</v>
      </c>
      <c r="Y111" s="29">
        <f>'4대보험'!J111</f>
        <v>20240</v>
      </c>
      <c r="Z111" s="29">
        <f>'4대보험'!L111</f>
        <v>39680</v>
      </c>
      <c r="AA111" s="29">
        <f>세금!P111</f>
        <v>232790</v>
      </c>
      <c r="AB111" s="29">
        <f>세금!Q111</f>
        <v>23270</v>
      </c>
      <c r="AC111" s="14">
        <v>0</v>
      </c>
      <c r="AD111" s="28">
        <f t="shared" si="7"/>
        <v>670740</v>
      </c>
      <c r="AE111" s="28">
        <f t="shared" si="8"/>
        <v>4239061</v>
      </c>
    </row>
    <row r="112" spans="1:31" x14ac:dyDescent="0.4">
      <c r="A112" s="23">
        <v>46357</v>
      </c>
      <c r="B112" s="17">
        <v>9</v>
      </c>
      <c r="C112" s="24" t="str">
        <f>직원정보!B13</f>
        <v>S0009</v>
      </c>
      <c r="D112" s="25" t="str">
        <f>직원정보!C13</f>
        <v>자유롬</v>
      </c>
      <c r="E112" s="24" t="str">
        <f>직원정보!D13</f>
        <v>C&amp;M 1팀</v>
      </c>
      <c r="F112" s="24" t="str">
        <f>직원정보!E13</f>
        <v>과장</v>
      </c>
      <c r="G112" s="14">
        <v>3500000</v>
      </c>
      <c r="H112" s="26">
        <f>ROUND(G112/요율기준!$B$14,0)</f>
        <v>16746</v>
      </c>
      <c r="I112" s="27">
        <v>17</v>
      </c>
      <c r="J112" s="27">
        <v>4</v>
      </c>
      <c r="K112" s="14">
        <v>300000</v>
      </c>
      <c r="L112" s="26">
        <f>ROUND(H112*요율기준!$B$15*I112,0)</f>
        <v>427023</v>
      </c>
      <c r="M112" s="26">
        <f>ROUND(H112*요율기준!$B$16*J112,0)</f>
        <v>33492</v>
      </c>
      <c r="N112" s="14">
        <v>100000</v>
      </c>
      <c r="O112" s="14">
        <v>100000</v>
      </c>
      <c r="P112" s="14">
        <v>100000</v>
      </c>
      <c r="Q112" s="14">
        <v>100000</v>
      </c>
      <c r="R112" s="14">
        <v>200000</v>
      </c>
      <c r="S112" s="14">
        <v>200000</v>
      </c>
      <c r="T112" s="28">
        <f t="shared" si="5"/>
        <v>5060515</v>
      </c>
      <c r="U112" s="26">
        <f>Q112+MIN(R112,요율기준!$B$17)+MIN(S112,요율기준!$B$18)</f>
        <v>500000</v>
      </c>
      <c r="V112" s="28">
        <f t="shared" si="6"/>
        <v>4560515</v>
      </c>
      <c r="W112" s="29">
        <f>'4대보험'!F112</f>
        <v>205220</v>
      </c>
      <c r="X112" s="29">
        <f>'4대보험'!H112</f>
        <v>161670</v>
      </c>
      <c r="Y112" s="29">
        <f>'4대보험'!J112</f>
        <v>20930</v>
      </c>
      <c r="Z112" s="29">
        <f>'4대보험'!L112</f>
        <v>41040</v>
      </c>
      <c r="AA112" s="29">
        <f>세금!P112</f>
        <v>252350</v>
      </c>
      <c r="AB112" s="29">
        <f>세금!Q112</f>
        <v>25230</v>
      </c>
      <c r="AC112" s="14">
        <v>0</v>
      </c>
      <c r="AD112" s="28">
        <f t="shared" si="7"/>
        <v>706440</v>
      </c>
      <c r="AE112" s="28">
        <f t="shared" si="8"/>
        <v>4354075</v>
      </c>
    </row>
    <row r="113" spans="1:31" x14ac:dyDescent="0.4">
      <c r="A113" s="23">
        <v>46023</v>
      </c>
      <c r="B113" s="17">
        <v>10</v>
      </c>
      <c r="C113" s="24" t="str">
        <f>직원정보!B14</f>
        <v>S0010</v>
      </c>
      <c r="D113" s="25" t="str">
        <f>직원정보!C14</f>
        <v>차분해</v>
      </c>
      <c r="E113" s="24" t="str">
        <f>직원정보!D14</f>
        <v>SAP팀</v>
      </c>
      <c r="F113" s="24" t="str">
        <f>직원정보!E14</f>
        <v>과장</v>
      </c>
      <c r="G113" s="14">
        <v>3500000</v>
      </c>
      <c r="H113" s="26">
        <f>ROUND(G113/요율기준!$B$14,0)</f>
        <v>16746</v>
      </c>
      <c r="I113" s="27">
        <v>15</v>
      </c>
      <c r="J113" s="27">
        <v>9</v>
      </c>
      <c r="K113" s="14">
        <v>300000</v>
      </c>
      <c r="L113" s="26">
        <f>ROUND(H113*요율기준!$B$15*I113,0)</f>
        <v>376785</v>
      </c>
      <c r="M113" s="26">
        <f>ROUND(H113*요율기준!$B$16*J113,0)</f>
        <v>75357</v>
      </c>
      <c r="N113" s="14">
        <v>100000</v>
      </c>
      <c r="O113" s="14">
        <v>100000</v>
      </c>
      <c r="P113" s="14">
        <v>0</v>
      </c>
      <c r="Q113" s="14">
        <v>100000</v>
      </c>
      <c r="R113" s="14">
        <v>200000</v>
      </c>
      <c r="S113" s="14">
        <v>200000</v>
      </c>
      <c r="T113" s="28">
        <f t="shared" si="5"/>
        <v>4952142</v>
      </c>
      <c r="U113" s="26">
        <f>Q113+MIN(R113,요율기준!$B$17)+MIN(S113,요율기준!$B$18)</f>
        <v>500000</v>
      </c>
      <c r="V113" s="28">
        <f t="shared" si="6"/>
        <v>4452142</v>
      </c>
      <c r="W113" s="29">
        <f>'4대보험'!F113</f>
        <v>200340</v>
      </c>
      <c r="X113" s="29">
        <f>'4대보험'!H113</f>
        <v>157820</v>
      </c>
      <c r="Y113" s="29">
        <f>'4대보험'!J113</f>
        <v>20430</v>
      </c>
      <c r="Z113" s="29">
        <f>'4대보험'!L113</f>
        <v>40060</v>
      </c>
      <c r="AA113" s="29">
        <f>세금!P113</f>
        <v>238290</v>
      </c>
      <c r="AB113" s="29">
        <f>세금!Q113</f>
        <v>23820</v>
      </c>
      <c r="AC113" s="14">
        <v>0</v>
      </c>
      <c r="AD113" s="28">
        <f t="shared" si="7"/>
        <v>680760</v>
      </c>
      <c r="AE113" s="28">
        <f t="shared" si="8"/>
        <v>4271382</v>
      </c>
    </row>
    <row r="114" spans="1:31" x14ac:dyDescent="0.4">
      <c r="A114" s="23">
        <v>46054</v>
      </c>
      <c r="B114" s="17">
        <v>10</v>
      </c>
      <c r="C114" s="24" t="str">
        <f>직원정보!B14</f>
        <v>S0010</v>
      </c>
      <c r="D114" s="25" t="str">
        <f>직원정보!C14</f>
        <v>차분해</v>
      </c>
      <c r="E114" s="24" t="str">
        <f>직원정보!D14</f>
        <v>SAP팀</v>
      </c>
      <c r="F114" s="24" t="str">
        <f>직원정보!E14</f>
        <v>과장</v>
      </c>
      <c r="G114" s="14">
        <v>3500000</v>
      </c>
      <c r="H114" s="26">
        <f>ROUND(G114/요율기준!$B$14,0)</f>
        <v>16746</v>
      </c>
      <c r="I114" s="27">
        <v>20</v>
      </c>
      <c r="J114" s="27">
        <v>0</v>
      </c>
      <c r="K114" s="14">
        <v>300000</v>
      </c>
      <c r="L114" s="26">
        <f>ROUND(H114*요율기준!$B$15*I114,0)</f>
        <v>502380</v>
      </c>
      <c r="M114" s="26">
        <f>ROUND(H114*요율기준!$B$16*J114,0)</f>
        <v>0</v>
      </c>
      <c r="N114" s="14">
        <v>100000</v>
      </c>
      <c r="O114" s="14">
        <v>100000</v>
      </c>
      <c r="P114" s="14">
        <v>0</v>
      </c>
      <c r="Q114" s="14">
        <v>100000</v>
      </c>
      <c r="R114" s="14">
        <v>200000</v>
      </c>
      <c r="S114" s="14">
        <v>200000</v>
      </c>
      <c r="T114" s="28">
        <f t="shared" si="5"/>
        <v>5002380</v>
      </c>
      <c r="U114" s="26">
        <f>Q114+MIN(R114,요율기준!$B$17)+MIN(S114,요율기준!$B$18)</f>
        <v>500000</v>
      </c>
      <c r="V114" s="28">
        <f t="shared" si="6"/>
        <v>4502380</v>
      </c>
      <c r="W114" s="29">
        <f>'4대보험'!F114</f>
        <v>202600</v>
      </c>
      <c r="X114" s="29">
        <f>'4대보험'!H114</f>
        <v>159600</v>
      </c>
      <c r="Y114" s="29">
        <f>'4대보험'!J114</f>
        <v>20660</v>
      </c>
      <c r="Z114" s="29">
        <f>'4대보험'!L114</f>
        <v>40520</v>
      </c>
      <c r="AA114" s="29">
        <f>세금!P114</f>
        <v>244800</v>
      </c>
      <c r="AB114" s="29">
        <f>세금!Q114</f>
        <v>24480</v>
      </c>
      <c r="AC114" s="14">
        <v>0</v>
      </c>
      <c r="AD114" s="28">
        <f t="shared" si="7"/>
        <v>692660</v>
      </c>
      <c r="AE114" s="28">
        <f t="shared" si="8"/>
        <v>4309720</v>
      </c>
    </row>
    <row r="115" spans="1:31" x14ac:dyDescent="0.4">
      <c r="A115" s="23">
        <v>46082</v>
      </c>
      <c r="B115" s="17">
        <v>10</v>
      </c>
      <c r="C115" s="24" t="str">
        <f>직원정보!B14</f>
        <v>S0010</v>
      </c>
      <c r="D115" s="25" t="str">
        <f>직원정보!C14</f>
        <v>차분해</v>
      </c>
      <c r="E115" s="24" t="str">
        <f>직원정보!D14</f>
        <v>SAP팀</v>
      </c>
      <c r="F115" s="24" t="str">
        <f>직원정보!E14</f>
        <v>과장</v>
      </c>
      <c r="G115" s="14">
        <v>3500000</v>
      </c>
      <c r="H115" s="26">
        <f>ROUND(G115/요율기준!$B$14,0)</f>
        <v>16746</v>
      </c>
      <c r="I115" s="27">
        <v>25</v>
      </c>
      <c r="J115" s="27">
        <v>3</v>
      </c>
      <c r="K115" s="14">
        <v>300000</v>
      </c>
      <c r="L115" s="26">
        <f>ROUND(H115*요율기준!$B$15*I115,0)</f>
        <v>627975</v>
      </c>
      <c r="M115" s="26">
        <f>ROUND(H115*요율기준!$B$16*J115,0)</f>
        <v>25119</v>
      </c>
      <c r="N115" s="14">
        <v>100000</v>
      </c>
      <c r="O115" s="14">
        <v>100000</v>
      </c>
      <c r="P115" s="14">
        <v>0</v>
      </c>
      <c r="Q115" s="14">
        <v>100000</v>
      </c>
      <c r="R115" s="14">
        <v>200000</v>
      </c>
      <c r="S115" s="14">
        <v>200000</v>
      </c>
      <c r="T115" s="28">
        <f t="shared" si="5"/>
        <v>5153094</v>
      </c>
      <c r="U115" s="26">
        <f>Q115+MIN(R115,요율기준!$B$17)+MIN(S115,요율기준!$B$18)</f>
        <v>500000</v>
      </c>
      <c r="V115" s="28">
        <f t="shared" si="6"/>
        <v>4653094</v>
      </c>
      <c r="W115" s="29">
        <f>'4대보험'!F115</f>
        <v>209380</v>
      </c>
      <c r="X115" s="29">
        <f>'4대보험'!H115</f>
        <v>164950</v>
      </c>
      <c r="Y115" s="29">
        <f>'4대보험'!J115</f>
        <v>21360</v>
      </c>
      <c r="Z115" s="29">
        <f>'4대보험'!L115</f>
        <v>41870</v>
      </c>
      <c r="AA115" s="29">
        <f>세금!P115</f>
        <v>264360</v>
      </c>
      <c r="AB115" s="29">
        <f>세금!Q115</f>
        <v>26430</v>
      </c>
      <c r="AC115" s="14">
        <v>0</v>
      </c>
      <c r="AD115" s="28">
        <f t="shared" si="7"/>
        <v>728350</v>
      </c>
      <c r="AE115" s="28">
        <f t="shared" si="8"/>
        <v>4424744</v>
      </c>
    </row>
    <row r="116" spans="1:31" x14ac:dyDescent="0.4">
      <c r="A116" s="23">
        <v>46113</v>
      </c>
      <c r="B116" s="17">
        <v>10</v>
      </c>
      <c r="C116" s="24" t="str">
        <f>직원정보!B14</f>
        <v>S0010</v>
      </c>
      <c r="D116" s="25" t="str">
        <f>직원정보!C14</f>
        <v>차분해</v>
      </c>
      <c r="E116" s="24" t="str">
        <f>직원정보!D14</f>
        <v>SAP팀</v>
      </c>
      <c r="F116" s="24" t="str">
        <f>직원정보!E14</f>
        <v>과장</v>
      </c>
      <c r="G116" s="14">
        <v>3500000</v>
      </c>
      <c r="H116" s="26">
        <f>ROUND(G116/요율기준!$B$14,0)</f>
        <v>16746</v>
      </c>
      <c r="I116" s="27">
        <v>30</v>
      </c>
      <c r="J116" s="27">
        <v>6</v>
      </c>
      <c r="K116" s="14">
        <v>300000</v>
      </c>
      <c r="L116" s="26">
        <f>ROUND(H116*요율기준!$B$15*I116,0)</f>
        <v>753570</v>
      </c>
      <c r="M116" s="26">
        <f>ROUND(H116*요율기준!$B$16*J116,0)</f>
        <v>50238</v>
      </c>
      <c r="N116" s="14">
        <v>100000</v>
      </c>
      <c r="O116" s="14">
        <v>100000</v>
      </c>
      <c r="P116" s="14">
        <v>0</v>
      </c>
      <c r="Q116" s="14">
        <v>100000</v>
      </c>
      <c r="R116" s="14">
        <v>200000</v>
      </c>
      <c r="S116" s="14">
        <v>200000</v>
      </c>
      <c r="T116" s="28">
        <f t="shared" si="5"/>
        <v>5303808</v>
      </c>
      <c r="U116" s="26">
        <f>Q116+MIN(R116,요율기준!$B$17)+MIN(S116,요율기준!$B$18)</f>
        <v>500000</v>
      </c>
      <c r="V116" s="28">
        <f t="shared" si="6"/>
        <v>4803808</v>
      </c>
      <c r="W116" s="29">
        <f>'4대보험'!F116</f>
        <v>216170</v>
      </c>
      <c r="X116" s="29">
        <f>'4대보험'!H116</f>
        <v>170290</v>
      </c>
      <c r="Y116" s="29">
        <f>'4대보험'!J116</f>
        <v>22050</v>
      </c>
      <c r="Z116" s="29">
        <f>'4대보험'!L116</f>
        <v>43230</v>
      </c>
      <c r="AA116" s="29">
        <f>세금!P116</f>
        <v>283910</v>
      </c>
      <c r="AB116" s="29">
        <f>세금!Q116</f>
        <v>28390</v>
      </c>
      <c r="AC116" s="14">
        <v>0</v>
      </c>
      <c r="AD116" s="28">
        <f t="shared" si="7"/>
        <v>764040</v>
      </c>
      <c r="AE116" s="28">
        <f t="shared" si="8"/>
        <v>4539768</v>
      </c>
    </row>
    <row r="117" spans="1:31" x14ac:dyDescent="0.4">
      <c r="A117" s="23">
        <v>46143</v>
      </c>
      <c r="B117" s="17">
        <v>10</v>
      </c>
      <c r="C117" s="24" t="str">
        <f>직원정보!B14</f>
        <v>S0010</v>
      </c>
      <c r="D117" s="25" t="str">
        <f>직원정보!C14</f>
        <v>차분해</v>
      </c>
      <c r="E117" s="24" t="str">
        <f>직원정보!D14</f>
        <v>SAP팀</v>
      </c>
      <c r="F117" s="24" t="str">
        <f>직원정보!E14</f>
        <v>과장</v>
      </c>
      <c r="G117" s="14">
        <v>3500000</v>
      </c>
      <c r="H117" s="26">
        <f>ROUND(G117/요율기준!$B$14,0)</f>
        <v>16746</v>
      </c>
      <c r="I117" s="27">
        <v>10</v>
      </c>
      <c r="J117" s="27">
        <v>9</v>
      </c>
      <c r="K117" s="14">
        <v>300000</v>
      </c>
      <c r="L117" s="26">
        <f>ROUND(H117*요율기준!$B$15*I117,0)</f>
        <v>251190</v>
      </c>
      <c r="M117" s="26">
        <f>ROUND(H117*요율기준!$B$16*J117,0)</f>
        <v>75357</v>
      </c>
      <c r="N117" s="14">
        <v>100000</v>
      </c>
      <c r="O117" s="14">
        <v>100000</v>
      </c>
      <c r="P117" s="14">
        <v>0</v>
      </c>
      <c r="Q117" s="14">
        <v>100000</v>
      </c>
      <c r="R117" s="14">
        <v>200000</v>
      </c>
      <c r="S117" s="14">
        <v>200000</v>
      </c>
      <c r="T117" s="28">
        <f t="shared" si="5"/>
        <v>4826547</v>
      </c>
      <c r="U117" s="26">
        <f>Q117+MIN(R117,요율기준!$B$17)+MIN(S117,요율기준!$B$18)</f>
        <v>500000</v>
      </c>
      <c r="V117" s="28">
        <f t="shared" si="6"/>
        <v>4326547</v>
      </c>
      <c r="W117" s="29">
        <f>'4대보험'!F117</f>
        <v>194690</v>
      </c>
      <c r="X117" s="29">
        <f>'4대보험'!H117</f>
        <v>153370</v>
      </c>
      <c r="Y117" s="29">
        <f>'4대보험'!J117</f>
        <v>19860</v>
      </c>
      <c r="Z117" s="29">
        <f>'4대보험'!L117</f>
        <v>38930</v>
      </c>
      <c r="AA117" s="29">
        <f>세금!P117</f>
        <v>221990</v>
      </c>
      <c r="AB117" s="29">
        <f>세금!Q117</f>
        <v>22190</v>
      </c>
      <c r="AC117" s="14">
        <v>0</v>
      </c>
      <c r="AD117" s="28">
        <f t="shared" si="7"/>
        <v>651030</v>
      </c>
      <c r="AE117" s="28">
        <f t="shared" si="8"/>
        <v>4175517</v>
      </c>
    </row>
    <row r="118" spans="1:31" x14ac:dyDescent="0.4">
      <c r="A118" s="23">
        <v>46174</v>
      </c>
      <c r="B118" s="17">
        <v>10</v>
      </c>
      <c r="C118" s="24" t="str">
        <f>직원정보!B14</f>
        <v>S0010</v>
      </c>
      <c r="D118" s="25" t="str">
        <f>직원정보!C14</f>
        <v>차분해</v>
      </c>
      <c r="E118" s="24" t="str">
        <f>직원정보!D14</f>
        <v>SAP팀</v>
      </c>
      <c r="F118" s="24" t="str">
        <f>직원정보!E14</f>
        <v>과장</v>
      </c>
      <c r="G118" s="14">
        <v>3500000</v>
      </c>
      <c r="H118" s="26">
        <f>ROUND(G118/요율기준!$B$14,0)</f>
        <v>16746</v>
      </c>
      <c r="I118" s="27">
        <v>15</v>
      </c>
      <c r="J118" s="27">
        <v>0</v>
      </c>
      <c r="K118" s="14">
        <v>300000</v>
      </c>
      <c r="L118" s="26">
        <f>ROUND(H118*요율기준!$B$15*I118,0)</f>
        <v>376785</v>
      </c>
      <c r="M118" s="26">
        <f>ROUND(H118*요율기준!$B$16*J118,0)</f>
        <v>0</v>
      </c>
      <c r="N118" s="14">
        <v>100000</v>
      </c>
      <c r="O118" s="14">
        <v>100000</v>
      </c>
      <c r="P118" s="14">
        <v>0</v>
      </c>
      <c r="Q118" s="14">
        <v>100000</v>
      </c>
      <c r="R118" s="14">
        <v>200000</v>
      </c>
      <c r="S118" s="14">
        <v>200000</v>
      </c>
      <c r="T118" s="28">
        <f t="shared" si="5"/>
        <v>4876785</v>
      </c>
      <c r="U118" s="26">
        <f>Q118+MIN(R118,요율기준!$B$17)+MIN(S118,요율기준!$B$18)</f>
        <v>500000</v>
      </c>
      <c r="V118" s="28">
        <f t="shared" si="6"/>
        <v>4376785</v>
      </c>
      <c r="W118" s="29">
        <f>'4대보험'!F118</f>
        <v>196950</v>
      </c>
      <c r="X118" s="29">
        <f>'4대보험'!H118</f>
        <v>155150</v>
      </c>
      <c r="Y118" s="29">
        <f>'4대보험'!J118</f>
        <v>20090</v>
      </c>
      <c r="Z118" s="29">
        <f>'4대보험'!L118</f>
        <v>39390</v>
      </c>
      <c r="AA118" s="29">
        <f>세금!P118</f>
        <v>228510</v>
      </c>
      <c r="AB118" s="29">
        <f>세금!Q118</f>
        <v>22850</v>
      </c>
      <c r="AC118" s="14">
        <v>0</v>
      </c>
      <c r="AD118" s="28">
        <f t="shared" si="7"/>
        <v>662940</v>
      </c>
      <c r="AE118" s="28">
        <f t="shared" si="8"/>
        <v>4213845</v>
      </c>
    </row>
    <row r="119" spans="1:31" x14ac:dyDescent="0.4">
      <c r="A119" s="23">
        <v>46204</v>
      </c>
      <c r="B119" s="17">
        <v>10</v>
      </c>
      <c r="C119" s="24" t="str">
        <f>직원정보!B14</f>
        <v>S0010</v>
      </c>
      <c r="D119" s="25" t="str">
        <f>직원정보!C14</f>
        <v>차분해</v>
      </c>
      <c r="E119" s="24" t="str">
        <f>직원정보!D14</f>
        <v>SAP팀</v>
      </c>
      <c r="F119" s="24" t="str">
        <f>직원정보!E14</f>
        <v>과장</v>
      </c>
      <c r="G119" s="14">
        <v>3500000</v>
      </c>
      <c r="H119" s="26">
        <f>ROUND(G119/요율기준!$B$14,0)</f>
        <v>16746</v>
      </c>
      <c r="I119" s="27">
        <v>20</v>
      </c>
      <c r="J119" s="27">
        <v>3</v>
      </c>
      <c r="K119" s="14">
        <v>300000</v>
      </c>
      <c r="L119" s="26">
        <f>ROUND(H119*요율기준!$B$15*I119,0)</f>
        <v>502380</v>
      </c>
      <c r="M119" s="26">
        <f>ROUND(H119*요율기준!$B$16*J119,0)</f>
        <v>25119</v>
      </c>
      <c r="N119" s="14">
        <v>100000</v>
      </c>
      <c r="O119" s="14">
        <v>100000</v>
      </c>
      <c r="P119" s="14">
        <v>0</v>
      </c>
      <c r="Q119" s="14">
        <v>100000</v>
      </c>
      <c r="R119" s="14">
        <v>200000</v>
      </c>
      <c r="S119" s="14">
        <v>200000</v>
      </c>
      <c r="T119" s="28">
        <f t="shared" si="5"/>
        <v>5027499</v>
      </c>
      <c r="U119" s="26">
        <f>Q119+MIN(R119,요율기준!$B$17)+MIN(S119,요율기준!$B$18)</f>
        <v>500000</v>
      </c>
      <c r="V119" s="28">
        <f t="shared" si="6"/>
        <v>4527499</v>
      </c>
      <c r="W119" s="29">
        <f>'4대보험'!F119</f>
        <v>203730</v>
      </c>
      <c r="X119" s="29">
        <f>'4대보험'!H119</f>
        <v>160490</v>
      </c>
      <c r="Y119" s="29">
        <f>'4대보험'!J119</f>
        <v>20780</v>
      </c>
      <c r="Z119" s="29">
        <f>'4대보험'!L119</f>
        <v>40740</v>
      </c>
      <c r="AA119" s="29">
        <f>세금!P119</f>
        <v>248060</v>
      </c>
      <c r="AB119" s="29">
        <f>세금!Q119</f>
        <v>24800</v>
      </c>
      <c r="AC119" s="14">
        <v>0</v>
      </c>
      <c r="AD119" s="28">
        <f t="shared" si="7"/>
        <v>698600</v>
      </c>
      <c r="AE119" s="28">
        <f t="shared" si="8"/>
        <v>4328899</v>
      </c>
    </row>
    <row r="120" spans="1:31" x14ac:dyDescent="0.4">
      <c r="A120" s="23">
        <v>46235</v>
      </c>
      <c r="B120" s="17">
        <v>10</v>
      </c>
      <c r="C120" s="24" t="str">
        <f>직원정보!B14</f>
        <v>S0010</v>
      </c>
      <c r="D120" s="25" t="str">
        <f>직원정보!C14</f>
        <v>차분해</v>
      </c>
      <c r="E120" s="24" t="str">
        <f>직원정보!D14</f>
        <v>SAP팀</v>
      </c>
      <c r="F120" s="24" t="str">
        <f>직원정보!E14</f>
        <v>과장</v>
      </c>
      <c r="G120" s="14">
        <v>3500000</v>
      </c>
      <c r="H120" s="26">
        <f>ROUND(G120/요율기준!$B$14,0)</f>
        <v>16746</v>
      </c>
      <c r="I120" s="27">
        <v>25</v>
      </c>
      <c r="J120" s="27">
        <v>6</v>
      </c>
      <c r="K120" s="14">
        <v>300000</v>
      </c>
      <c r="L120" s="26">
        <f>ROUND(H120*요율기준!$B$15*I120,0)</f>
        <v>627975</v>
      </c>
      <c r="M120" s="26">
        <f>ROUND(H120*요율기준!$B$16*J120,0)</f>
        <v>50238</v>
      </c>
      <c r="N120" s="14">
        <v>100000</v>
      </c>
      <c r="O120" s="14">
        <v>100000</v>
      </c>
      <c r="P120" s="14">
        <v>0</v>
      </c>
      <c r="Q120" s="14">
        <v>100000</v>
      </c>
      <c r="R120" s="14">
        <v>200000</v>
      </c>
      <c r="S120" s="14">
        <v>200000</v>
      </c>
      <c r="T120" s="28">
        <f t="shared" si="5"/>
        <v>5178213</v>
      </c>
      <c r="U120" s="26">
        <f>Q120+MIN(R120,요율기준!$B$17)+MIN(S120,요율기준!$B$18)</f>
        <v>500000</v>
      </c>
      <c r="V120" s="28">
        <f t="shared" si="6"/>
        <v>4678213</v>
      </c>
      <c r="W120" s="29">
        <f>'4대보험'!F120</f>
        <v>210510</v>
      </c>
      <c r="X120" s="29">
        <f>'4대보험'!H120</f>
        <v>165840</v>
      </c>
      <c r="Y120" s="29">
        <f>'4대보험'!J120</f>
        <v>21470</v>
      </c>
      <c r="Z120" s="29">
        <f>'4대보험'!L120</f>
        <v>42100</v>
      </c>
      <c r="AA120" s="29">
        <f>세금!P120</f>
        <v>267620</v>
      </c>
      <c r="AB120" s="29">
        <f>세금!Q120</f>
        <v>26760</v>
      </c>
      <c r="AC120" s="14">
        <v>0</v>
      </c>
      <c r="AD120" s="28">
        <f t="shared" si="7"/>
        <v>734300</v>
      </c>
      <c r="AE120" s="28">
        <f t="shared" si="8"/>
        <v>4443913</v>
      </c>
    </row>
    <row r="121" spans="1:31" x14ac:dyDescent="0.4">
      <c r="A121" s="23">
        <v>46266</v>
      </c>
      <c r="B121" s="17">
        <v>10</v>
      </c>
      <c r="C121" s="24" t="str">
        <f>직원정보!B14</f>
        <v>S0010</v>
      </c>
      <c r="D121" s="25" t="str">
        <f>직원정보!C14</f>
        <v>차분해</v>
      </c>
      <c r="E121" s="24" t="str">
        <f>직원정보!D14</f>
        <v>SAP팀</v>
      </c>
      <c r="F121" s="24" t="str">
        <f>직원정보!E14</f>
        <v>과장</v>
      </c>
      <c r="G121" s="14">
        <v>3500000</v>
      </c>
      <c r="H121" s="26">
        <f>ROUND(G121/요율기준!$B$14,0)</f>
        <v>16746</v>
      </c>
      <c r="I121" s="27">
        <v>30</v>
      </c>
      <c r="J121" s="27">
        <v>9</v>
      </c>
      <c r="K121" s="14">
        <v>300000</v>
      </c>
      <c r="L121" s="26">
        <f>ROUND(H121*요율기준!$B$15*I121,0)</f>
        <v>753570</v>
      </c>
      <c r="M121" s="26">
        <f>ROUND(H121*요율기준!$B$16*J121,0)</f>
        <v>75357</v>
      </c>
      <c r="N121" s="14">
        <v>100000</v>
      </c>
      <c r="O121" s="14">
        <v>100000</v>
      </c>
      <c r="P121" s="14">
        <v>0</v>
      </c>
      <c r="Q121" s="14">
        <v>100000</v>
      </c>
      <c r="R121" s="14">
        <v>200000</v>
      </c>
      <c r="S121" s="14">
        <v>200000</v>
      </c>
      <c r="T121" s="28">
        <f t="shared" si="5"/>
        <v>5328927</v>
      </c>
      <c r="U121" s="26">
        <f>Q121+MIN(R121,요율기준!$B$17)+MIN(S121,요율기준!$B$18)</f>
        <v>500000</v>
      </c>
      <c r="V121" s="28">
        <f t="shared" si="6"/>
        <v>4828927</v>
      </c>
      <c r="W121" s="29">
        <f>'4대보험'!F121</f>
        <v>217300</v>
      </c>
      <c r="X121" s="29">
        <f>'4대보험'!H121</f>
        <v>171180</v>
      </c>
      <c r="Y121" s="29">
        <f>'4대보험'!J121</f>
        <v>22160</v>
      </c>
      <c r="Z121" s="29">
        <f>'4대보험'!L121</f>
        <v>43460</v>
      </c>
      <c r="AA121" s="29">
        <f>세금!P121</f>
        <v>287170</v>
      </c>
      <c r="AB121" s="29">
        <f>세금!Q121</f>
        <v>28710</v>
      </c>
      <c r="AC121" s="14">
        <v>0</v>
      </c>
      <c r="AD121" s="28">
        <f t="shared" si="7"/>
        <v>769980</v>
      </c>
      <c r="AE121" s="28">
        <f t="shared" si="8"/>
        <v>4558947</v>
      </c>
    </row>
    <row r="122" spans="1:31" x14ac:dyDescent="0.4">
      <c r="A122" s="23">
        <v>46296</v>
      </c>
      <c r="B122" s="17">
        <v>10</v>
      </c>
      <c r="C122" s="24" t="str">
        <f>직원정보!B14</f>
        <v>S0010</v>
      </c>
      <c r="D122" s="25" t="str">
        <f>직원정보!C14</f>
        <v>차분해</v>
      </c>
      <c r="E122" s="24" t="str">
        <f>직원정보!D14</f>
        <v>SAP팀</v>
      </c>
      <c r="F122" s="24" t="str">
        <f>직원정보!E14</f>
        <v>과장</v>
      </c>
      <c r="G122" s="14">
        <v>3500000</v>
      </c>
      <c r="H122" s="26">
        <f>ROUND(G122/요율기준!$B$14,0)</f>
        <v>16746</v>
      </c>
      <c r="I122" s="27">
        <v>10</v>
      </c>
      <c r="J122" s="27">
        <v>0</v>
      </c>
      <c r="K122" s="14">
        <v>300000</v>
      </c>
      <c r="L122" s="26">
        <f>ROUND(H122*요율기준!$B$15*I122,0)</f>
        <v>251190</v>
      </c>
      <c r="M122" s="26">
        <f>ROUND(H122*요율기준!$B$16*J122,0)</f>
        <v>0</v>
      </c>
      <c r="N122" s="14">
        <v>100000</v>
      </c>
      <c r="O122" s="14">
        <v>100000</v>
      </c>
      <c r="P122" s="14">
        <v>0</v>
      </c>
      <c r="Q122" s="14">
        <v>100000</v>
      </c>
      <c r="R122" s="14">
        <v>200000</v>
      </c>
      <c r="S122" s="14">
        <v>200000</v>
      </c>
      <c r="T122" s="28">
        <f t="shared" si="5"/>
        <v>4751190</v>
      </c>
      <c r="U122" s="26">
        <f>Q122+MIN(R122,요율기준!$B$17)+MIN(S122,요율기준!$B$18)</f>
        <v>500000</v>
      </c>
      <c r="V122" s="28">
        <f t="shared" si="6"/>
        <v>4251190</v>
      </c>
      <c r="W122" s="29">
        <f>'4대보험'!F122</f>
        <v>191300</v>
      </c>
      <c r="X122" s="29">
        <f>'4대보험'!H122</f>
        <v>150700</v>
      </c>
      <c r="Y122" s="29">
        <f>'4대보험'!J122</f>
        <v>19510</v>
      </c>
      <c r="Z122" s="29">
        <f>'4대보험'!L122</f>
        <v>38260</v>
      </c>
      <c r="AA122" s="29">
        <f>세금!P122</f>
        <v>212210</v>
      </c>
      <c r="AB122" s="29">
        <f>세금!Q122</f>
        <v>21220</v>
      </c>
      <c r="AC122" s="14">
        <v>0</v>
      </c>
      <c r="AD122" s="28">
        <f t="shared" si="7"/>
        <v>633200</v>
      </c>
      <c r="AE122" s="28">
        <f t="shared" si="8"/>
        <v>4117990</v>
      </c>
    </row>
    <row r="123" spans="1:31" x14ac:dyDescent="0.4">
      <c r="A123" s="23">
        <v>46327</v>
      </c>
      <c r="B123" s="17">
        <v>10</v>
      </c>
      <c r="C123" s="24" t="str">
        <f>직원정보!B14</f>
        <v>S0010</v>
      </c>
      <c r="D123" s="25" t="str">
        <f>직원정보!C14</f>
        <v>차분해</v>
      </c>
      <c r="E123" s="24" t="str">
        <f>직원정보!D14</f>
        <v>SAP팀</v>
      </c>
      <c r="F123" s="24" t="str">
        <f>직원정보!E14</f>
        <v>과장</v>
      </c>
      <c r="G123" s="14">
        <v>3500000</v>
      </c>
      <c r="H123" s="26">
        <f>ROUND(G123/요율기준!$B$14,0)</f>
        <v>16746</v>
      </c>
      <c r="I123" s="27">
        <v>15</v>
      </c>
      <c r="J123" s="27">
        <v>3</v>
      </c>
      <c r="K123" s="14">
        <v>300000</v>
      </c>
      <c r="L123" s="26">
        <f>ROUND(H123*요율기준!$B$15*I123,0)</f>
        <v>376785</v>
      </c>
      <c r="M123" s="26">
        <f>ROUND(H123*요율기준!$B$16*J123,0)</f>
        <v>25119</v>
      </c>
      <c r="N123" s="14">
        <v>100000</v>
      </c>
      <c r="O123" s="14">
        <v>100000</v>
      </c>
      <c r="P123" s="14">
        <v>0</v>
      </c>
      <c r="Q123" s="14">
        <v>100000</v>
      </c>
      <c r="R123" s="14">
        <v>200000</v>
      </c>
      <c r="S123" s="14">
        <v>200000</v>
      </c>
      <c r="T123" s="28">
        <f t="shared" si="5"/>
        <v>4901904</v>
      </c>
      <c r="U123" s="26">
        <f>Q123+MIN(R123,요율기준!$B$17)+MIN(S123,요율기준!$B$18)</f>
        <v>500000</v>
      </c>
      <c r="V123" s="28">
        <f t="shared" si="6"/>
        <v>4401904</v>
      </c>
      <c r="W123" s="29">
        <f>'4대보험'!F123</f>
        <v>198080</v>
      </c>
      <c r="X123" s="29">
        <f>'4대보험'!H123</f>
        <v>156040</v>
      </c>
      <c r="Y123" s="29">
        <f>'4대보험'!J123</f>
        <v>20200</v>
      </c>
      <c r="Z123" s="29">
        <f>'4대보험'!L123</f>
        <v>39610</v>
      </c>
      <c r="AA123" s="29">
        <f>세금!P123</f>
        <v>231770</v>
      </c>
      <c r="AB123" s="29">
        <f>세금!Q123</f>
        <v>23170</v>
      </c>
      <c r="AC123" s="14">
        <v>0</v>
      </c>
      <c r="AD123" s="28">
        <f t="shared" si="7"/>
        <v>668870</v>
      </c>
      <c r="AE123" s="28">
        <f t="shared" si="8"/>
        <v>4233034</v>
      </c>
    </row>
    <row r="124" spans="1:31" x14ac:dyDescent="0.4">
      <c r="A124" s="23">
        <v>46357</v>
      </c>
      <c r="B124" s="17">
        <v>10</v>
      </c>
      <c r="C124" s="24" t="str">
        <f>직원정보!B14</f>
        <v>S0010</v>
      </c>
      <c r="D124" s="25" t="str">
        <f>직원정보!C14</f>
        <v>차분해</v>
      </c>
      <c r="E124" s="24" t="str">
        <f>직원정보!D14</f>
        <v>SAP팀</v>
      </c>
      <c r="F124" s="24" t="str">
        <f>직원정보!E14</f>
        <v>과장</v>
      </c>
      <c r="G124" s="14">
        <v>3500000</v>
      </c>
      <c r="H124" s="26">
        <f>ROUND(G124/요율기준!$B$14,0)</f>
        <v>16746</v>
      </c>
      <c r="I124" s="27">
        <v>20</v>
      </c>
      <c r="J124" s="27">
        <v>6</v>
      </c>
      <c r="K124" s="14">
        <v>300000</v>
      </c>
      <c r="L124" s="26">
        <f>ROUND(H124*요율기준!$B$15*I124,0)</f>
        <v>502380</v>
      </c>
      <c r="M124" s="26">
        <f>ROUND(H124*요율기준!$B$16*J124,0)</f>
        <v>50238</v>
      </c>
      <c r="N124" s="14">
        <v>100000</v>
      </c>
      <c r="O124" s="14">
        <v>100000</v>
      </c>
      <c r="P124" s="14">
        <v>0</v>
      </c>
      <c r="Q124" s="14">
        <v>100000</v>
      </c>
      <c r="R124" s="14">
        <v>200000</v>
      </c>
      <c r="S124" s="14">
        <v>200000</v>
      </c>
      <c r="T124" s="28">
        <f t="shared" si="5"/>
        <v>5052618</v>
      </c>
      <c r="U124" s="26">
        <f>Q124+MIN(R124,요율기준!$B$17)+MIN(S124,요율기준!$B$18)</f>
        <v>500000</v>
      </c>
      <c r="V124" s="28">
        <f t="shared" si="6"/>
        <v>4552618</v>
      </c>
      <c r="W124" s="29">
        <f>'4대보험'!F124</f>
        <v>204860</v>
      </c>
      <c r="X124" s="29">
        <f>'4대보험'!H124</f>
        <v>161390</v>
      </c>
      <c r="Y124" s="29">
        <f>'4대보험'!J124</f>
        <v>20900</v>
      </c>
      <c r="Z124" s="29">
        <f>'4대보험'!L124</f>
        <v>40970</v>
      </c>
      <c r="AA124" s="29">
        <f>세금!P124</f>
        <v>251320</v>
      </c>
      <c r="AB124" s="29">
        <f>세금!Q124</f>
        <v>25130</v>
      </c>
      <c r="AC124" s="14">
        <v>0</v>
      </c>
      <c r="AD124" s="28">
        <f t="shared" si="7"/>
        <v>704570</v>
      </c>
      <c r="AE124" s="28">
        <f t="shared" si="8"/>
        <v>4348048</v>
      </c>
    </row>
    <row r="125" spans="1:31" x14ac:dyDescent="0.4">
      <c r="A125" s="23">
        <v>46023</v>
      </c>
      <c r="B125" s="17">
        <v>11</v>
      </c>
      <c r="C125" s="24" t="str">
        <f>직원정보!B15</f>
        <v>S0011</v>
      </c>
      <c r="D125" s="25" t="str">
        <f>직원정보!C15</f>
        <v>카랑찬</v>
      </c>
      <c r="E125" s="24" t="str">
        <f>직원정보!D15</f>
        <v>C&amp;S 1팀</v>
      </c>
      <c r="F125" s="24" t="str">
        <f>직원정보!E15</f>
        <v>대리</v>
      </c>
      <c r="G125" s="14">
        <v>3100000</v>
      </c>
      <c r="H125" s="26">
        <f>ROUND(G125/요율기준!$B$14,0)</f>
        <v>14833</v>
      </c>
      <c r="I125" s="27">
        <v>18</v>
      </c>
      <c r="J125" s="27">
        <v>11</v>
      </c>
      <c r="K125" s="14">
        <v>260000</v>
      </c>
      <c r="L125" s="26">
        <f>ROUND(H125*요율기준!$B$15*I125,0)</f>
        <v>400491</v>
      </c>
      <c r="M125" s="26">
        <f>ROUND(H125*요율기준!$B$16*J125,0)</f>
        <v>81582</v>
      </c>
      <c r="N125" s="14">
        <v>50000</v>
      </c>
      <c r="O125" s="14">
        <v>100000</v>
      </c>
      <c r="P125" s="14">
        <v>0</v>
      </c>
      <c r="Q125" s="14">
        <v>100000</v>
      </c>
      <c r="R125" s="14">
        <v>200000</v>
      </c>
      <c r="S125" s="14">
        <v>0</v>
      </c>
      <c r="T125" s="28">
        <f t="shared" si="5"/>
        <v>4292073</v>
      </c>
      <c r="U125" s="26">
        <f>Q125+MIN(R125,요율기준!$B$17)+MIN(S125,요율기준!$B$18)</f>
        <v>300000</v>
      </c>
      <c r="V125" s="28">
        <f t="shared" si="6"/>
        <v>3992073</v>
      </c>
      <c r="W125" s="29">
        <f>'4대보험'!F125</f>
        <v>179640</v>
      </c>
      <c r="X125" s="29">
        <f>'4대보험'!H125</f>
        <v>141510</v>
      </c>
      <c r="Y125" s="29">
        <f>'4대보험'!J125</f>
        <v>18320</v>
      </c>
      <c r="Z125" s="29">
        <f>'4대보험'!L125</f>
        <v>35920</v>
      </c>
      <c r="AA125" s="29">
        <f>세금!P125</f>
        <v>178590</v>
      </c>
      <c r="AB125" s="29">
        <f>세금!Q125</f>
        <v>17850</v>
      </c>
      <c r="AC125" s="14">
        <v>0</v>
      </c>
      <c r="AD125" s="28">
        <f t="shared" si="7"/>
        <v>571830</v>
      </c>
      <c r="AE125" s="28">
        <f t="shared" si="8"/>
        <v>3720243</v>
      </c>
    </row>
    <row r="126" spans="1:31" x14ac:dyDescent="0.4">
      <c r="A126" s="23">
        <v>46054</v>
      </c>
      <c r="B126" s="17">
        <v>11</v>
      </c>
      <c r="C126" s="24" t="str">
        <f>직원정보!B15</f>
        <v>S0011</v>
      </c>
      <c r="D126" s="25" t="str">
        <f>직원정보!C15</f>
        <v>카랑찬</v>
      </c>
      <c r="E126" s="24" t="str">
        <f>직원정보!D15</f>
        <v>C&amp;S 1팀</v>
      </c>
      <c r="F126" s="24" t="str">
        <f>직원정보!E15</f>
        <v>대리</v>
      </c>
      <c r="G126" s="14">
        <v>3100000</v>
      </c>
      <c r="H126" s="26">
        <f>ROUND(G126/요율기준!$B$14,0)</f>
        <v>14833</v>
      </c>
      <c r="I126" s="27">
        <v>23</v>
      </c>
      <c r="J126" s="27">
        <v>2</v>
      </c>
      <c r="K126" s="14">
        <v>260000</v>
      </c>
      <c r="L126" s="26">
        <f>ROUND(H126*요율기준!$B$15*I126,0)</f>
        <v>511739</v>
      </c>
      <c r="M126" s="26">
        <f>ROUND(H126*요율기준!$B$16*J126,0)</f>
        <v>14833</v>
      </c>
      <c r="N126" s="14">
        <v>50000</v>
      </c>
      <c r="O126" s="14">
        <v>100000</v>
      </c>
      <c r="P126" s="14">
        <v>0</v>
      </c>
      <c r="Q126" s="14">
        <v>100000</v>
      </c>
      <c r="R126" s="14">
        <v>200000</v>
      </c>
      <c r="S126" s="14">
        <v>0</v>
      </c>
      <c r="T126" s="28">
        <f t="shared" si="5"/>
        <v>4336572</v>
      </c>
      <c r="U126" s="26">
        <f>Q126+MIN(R126,요율기준!$B$17)+MIN(S126,요율기준!$B$18)</f>
        <v>300000</v>
      </c>
      <c r="V126" s="28">
        <f t="shared" si="6"/>
        <v>4036572</v>
      </c>
      <c r="W126" s="29">
        <f>'4대보험'!F126</f>
        <v>181640</v>
      </c>
      <c r="X126" s="29">
        <f>'4대보험'!H126</f>
        <v>143090</v>
      </c>
      <c r="Y126" s="29">
        <f>'4대보험'!J126</f>
        <v>18530</v>
      </c>
      <c r="Z126" s="29">
        <f>'4대보험'!L126</f>
        <v>36320</v>
      </c>
      <c r="AA126" s="29">
        <f>세금!P126</f>
        <v>184370</v>
      </c>
      <c r="AB126" s="29">
        <f>세금!Q126</f>
        <v>18430</v>
      </c>
      <c r="AC126" s="14">
        <v>0</v>
      </c>
      <c r="AD126" s="28">
        <f t="shared" si="7"/>
        <v>582380</v>
      </c>
      <c r="AE126" s="28">
        <f t="shared" si="8"/>
        <v>3754192</v>
      </c>
    </row>
    <row r="127" spans="1:31" x14ac:dyDescent="0.4">
      <c r="A127" s="23">
        <v>46082</v>
      </c>
      <c r="B127" s="17">
        <v>11</v>
      </c>
      <c r="C127" s="24" t="str">
        <f>직원정보!B15</f>
        <v>S0011</v>
      </c>
      <c r="D127" s="25" t="str">
        <f>직원정보!C15</f>
        <v>카랑찬</v>
      </c>
      <c r="E127" s="24" t="str">
        <f>직원정보!D15</f>
        <v>C&amp;S 1팀</v>
      </c>
      <c r="F127" s="24" t="str">
        <f>직원정보!E15</f>
        <v>대리</v>
      </c>
      <c r="G127" s="14">
        <v>3100000</v>
      </c>
      <c r="H127" s="26">
        <f>ROUND(G127/요율기준!$B$14,0)</f>
        <v>14833</v>
      </c>
      <c r="I127" s="27">
        <v>28</v>
      </c>
      <c r="J127" s="27">
        <v>5</v>
      </c>
      <c r="K127" s="14">
        <v>260000</v>
      </c>
      <c r="L127" s="26">
        <f>ROUND(H127*요율기준!$B$15*I127,0)</f>
        <v>622986</v>
      </c>
      <c r="M127" s="26">
        <f>ROUND(H127*요율기준!$B$16*J127,0)</f>
        <v>37083</v>
      </c>
      <c r="N127" s="14">
        <v>50000</v>
      </c>
      <c r="O127" s="14">
        <v>100000</v>
      </c>
      <c r="P127" s="14">
        <v>0</v>
      </c>
      <c r="Q127" s="14">
        <v>100000</v>
      </c>
      <c r="R127" s="14">
        <v>200000</v>
      </c>
      <c r="S127" s="14">
        <v>0</v>
      </c>
      <c r="T127" s="28">
        <f t="shared" si="5"/>
        <v>4470069</v>
      </c>
      <c r="U127" s="26">
        <f>Q127+MIN(R127,요율기준!$B$17)+MIN(S127,요율기준!$B$18)</f>
        <v>300000</v>
      </c>
      <c r="V127" s="28">
        <f t="shared" si="6"/>
        <v>4170069</v>
      </c>
      <c r="W127" s="29">
        <f>'4대보험'!F127</f>
        <v>187650</v>
      </c>
      <c r="X127" s="29">
        <f>'4대보험'!H127</f>
        <v>147820</v>
      </c>
      <c r="Y127" s="29">
        <f>'4대보험'!J127</f>
        <v>19140</v>
      </c>
      <c r="Z127" s="29">
        <f>'4대보험'!L127</f>
        <v>37530</v>
      </c>
      <c r="AA127" s="29">
        <f>세금!P127</f>
        <v>201690</v>
      </c>
      <c r="AB127" s="29">
        <f>세금!Q127</f>
        <v>20160</v>
      </c>
      <c r="AC127" s="14">
        <v>0</v>
      </c>
      <c r="AD127" s="28">
        <f t="shared" si="7"/>
        <v>613990</v>
      </c>
      <c r="AE127" s="28">
        <f t="shared" si="8"/>
        <v>3856079</v>
      </c>
    </row>
    <row r="128" spans="1:31" x14ac:dyDescent="0.4">
      <c r="A128" s="23">
        <v>46113</v>
      </c>
      <c r="B128" s="17">
        <v>11</v>
      </c>
      <c r="C128" s="24" t="str">
        <f>직원정보!B15</f>
        <v>S0011</v>
      </c>
      <c r="D128" s="25" t="str">
        <f>직원정보!C15</f>
        <v>카랑찬</v>
      </c>
      <c r="E128" s="24" t="str">
        <f>직원정보!D15</f>
        <v>C&amp;S 1팀</v>
      </c>
      <c r="F128" s="24" t="str">
        <f>직원정보!E15</f>
        <v>대리</v>
      </c>
      <c r="G128" s="14">
        <v>3100000</v>
      </c>
      <c r="H128" s="26">
        <f>ROUND(G128/요율기준!$B$14,0)</f>
        <v>14833</v>
      </c>
      <c r="I128" s="27">
        <v>8</v>
      </c>
      <c r="J128" s="27">
        <v>8</v>
      </c>
      <c r="K128" s="14">
        <v>260000</v>
      </c>
      <c r="L128" s="26">
        <f>ROUND(H128*요율기준!$B$15*I128,0)</f>
        <v>177996</v>
      </c>
      <c r="M128" s="26">
        <f>ROUND(H128*요율기준!$B$16*J128,0)</f>
        <v>59332</v>
      </c>
      <c r="N128" s="14">
        <v>50000</v>
      </c>
      <c r="O128" s="14">
        <v>100000</v>
      </c>
      <c r="P128" s="14">
        <v>0</v>
      </c>
      <c r="Q128" s="14">
        <v>100000</v>
      </c>
      <c r="R128" s="14">
        <v>200000</v>
      </c>
      <c r="S128" s="14">
        <v>0</v>
      </c>
      <c r="T128" s="28">
        <f t="shared" si="5"/>
        <v>4047328</v>
      </c>
      <c r="U128" s="26">
        <f>Q128+MIN(R128,요율기준!$B$17)+MIN(S128,요율기준!$B$18)</f>
        <v>300000</v>
      </c>
      <c r="V128" s="28">
        <f t="shared" si="6"/>
        <v>3747328</v>
      </c>
      <c r="W128" s="29">
        <f>'4대보험'!F128</f>
        <v>168620</v>
      </c>
      <c r="X128" s="29">
        <f>'4대보험'!H128</f>
        <v>132840</v>
      </c>
      <c r="Y128" s="29">
        <f>'4대보험'!J128</f>
        <v>17200</v>
      </c>
      <c r="Z128" s="29">
        <f>'4대보험'!L128</f>
        <v>33720</v>
      </c>
      <c r="AA128" s="29">
        <f>세금!P128</f>
        <v>146880</v>
      </c>
      <c r="AB128" s="29">
        <f>세금!Q128</f>
        <v>14680</v>
      </c>
      <c r="AC128" s="14">
        <v>0</v>
      </c>
      <c r="AD128" s="28">
        <f t="shared" si="7"/>
        <v>513940</v>
      </c>
      <c r="AE128" s="28">
        <f t="shared" si="8"/>
        <v>3533388</v>
      </c>
    </row>
    <row r="129" spans="1:31" x14ac:dyDescent="0.4">
      <c r="A129" s="23">
        <v>46143</v>
      </c>
      <c r="B129" s="17">
        <v>11</v>
      </c>
      <c r="C129" s="24" t="str">
        <f>직원정보!B15</f>
        <v>S0011</v>
      </c>
      <c r="D129" s="25" t="str">
        <f>직원정보!C15</f>
        <v>카랑찬</v>
      </c>
      <c r="E129" s="24" t="str">
        <f>직원정보!D15</f>
        <v>C&amp;S 1팀</v>
      </c>
      <c r="F129" s="24" t="str">
        <f>직원정보!E15</f>
        <v>대리</v>
      </c>
      <c r="G129" s="14">
        <v>3100000</v>
      </c>
      <c r="H129" s="26">
        <f>ROUND(G129/요율기준!$B$14,0)</f>
        <v>14833</v>
      </c>
      <c r="I129" s="27">
        <v>13</v>
      </c>
      <c r="J129" s="27">
        <v>11</v>
      </c>
      <c r="K129" s="14">
        <v>260000</v>
      </c>
      <c r="L129" s="26">
        <f>ROUND(H129*요율기준!$B$15*I129,0)</f>
        <v>289244</v>
      </c>
      <c r="M129" s="26">
        <f>ROUND(H129*요율기준!$B$16*J129,0)</f>
        <v>81582</v>
      </c>
      <c r="N129" s="14">
        <v>50000</v>
      </c>
      <c r="O129" s="14">
        <v>100000</v>
      </c>
      <c r="P129" s="14">
        <v>0</v>
      </c>
      <c r="Q129" s="14">
        <v>100000</v>
      </c>
      <c r="R129" s="14">
        <v>200000</v>
      </c>
      <c r="S129" s="14">
        <v>0</v>
      </c>
      <c r="T129" s="28">
        <f t="shared" si="5"/>
        <v>4180826</v>
      </c>
      <c r="U129" s="26">
        <f>Q129+MIN(R129,요율기준!$B$17)+MIN(S129,요율기준!$B$18)</f>
        <v>300000</v>
      </c>
      <c r="V129" s="28">
        <f t="shared" si="6"/>
        <v>3880826</v>
      </c>
      <c r="W129" s="29">
        <f>'4대보험'!F129</f>
        <v>174630</v>
      </c>
      <c r="X129" s="29">
        <f>'4대보험'!H129</f>
        <v>137570</v>
      </c>
      <c r="Y129" s="29">
        <f>'4대보험'!J129</f>
        <v>17810</v>
      </c>
      <c r="Z129" s="29">
        <f>'4대보험'!L129</f>
        <v>34920</v>
      </c>
      <c r="AA129" s="29">
        <f>세금!P129</f>
        <v>164160</v>
      </c>
      <c r="AB129" s="29">
        <f>세금!Q129</f>
        <v>16410</v>
      </c>
      <c r="AC129" s="14">
        <v>0</v>
      </c>
      <c r="AD129" s="28">
        <f t="shared" si="7"/>
        <v>545500</v>
      </c>
      <c r="AE129" s="28">
        <f t="shared" si="8"/>
        <v>3635326</v>
      </c>
    </row>
    <row r="130" spans="1:31" x14ac:dyDescent="0.4">
      <c r="A130" s="23">
        <v>46174</v>
      </c>
      <c r="B130" s="17">
        <v>11</v>
      </c>
      <c r="C130" s="24" t="str">
        <f>직원정보!B15</f>
        <v>S0011</v>
      </c>
      <c r="D130" s="25" t="str">
        <f>직원정보!C15</f>
        <v>카랑찬</v>
      </c>
      <c r="E130" s="24" t="str">
        <f>직원정보!D15</f>
        <v>C&amp;S 1팀</v>
      </c>
      <c r="F130" s="24" t="str">
        <f>직원정보!E15</f>
        <v>대리</v>
      </c>
      <c r="G130" s="14">
        <v>3100000</v>
      </c>
      <c r="H130" s="26">
        <f>ROUND(G130/요율기준!$B$14,0)</f>
        <v>14833</v>
      </c>
      <c r="I130" s="27">
        <v>18</v>
      </c>
      <c r="J130" s="27">
        <v>2</v>
      </c>
      <c r="K130" s="14">
        <v>260000</v>
      </c>
      <c r="L130" s="26">
        <f>ROUND(H130*요율기준!$B$15*I130,0)</f>
        <v>400491</v>
      </c>
      <c r="M130" s="26">
        <f>ROUND(H130*요율기준!$B$16*J130,0)</f>
        <v>14833</v>
      </c>
      <c r="N130" s="14">
        <v>50000</v>
      </c>
      <c r="O130" s="14">
        <v>100000</v>
      </c>
      <c r="P130" s="14">
        <v>0</v>
      </c>
      <c r="Q130" s="14">
        <v>100000</v>
      </c>
      <c r="R130" s="14">
        <v>200000</v>
      </c>
      <c r="S130" s="14">
        <v>0</v>
      </c>
      <c r="T130" s="28">
        <f t="shared" si="5"/>
        <v>4225324</v>
      </c>
      <c r="U130" s="26">
        <f>Q130+MIN(R130,요율기준!$B$17)+MIN(S130,요율기준!$B$18)</f>
        <v>300000</v>
      </c>
      <c r="V130" s="28">
        <f t="shared" si="6"/>
        <v>3925324</v>
      </c>
      <c r="W130" s="29">
        <f>'4대보험'!F130</f>
        <v>176630</v>
      </c>
      <c r="X130" s="29">
        <f>'4대보험'!H130</f>
        <v>139150</v>
      </c>
      <c r="Y130" s="29">
        <f>'4대보험'!J130</f>
        <v>18010</v>
      </c>
      <c r="Z130" s="29">
        <f>'4대보험'!L130</f>
        <v>35320</v>
      </c>
      <c r="AA130" s="29">
        <f>세금!P130</f>
        <v>169930</v>
      </c>
      <c r="AB130" s="29">
        <f>세금!Q130</f>
        <v>16990</v>
      </c>
      <c r="AC130" s="14">
        <v>0</v>
      </c>
      <c r="AD130" s="28">
        <f t="shared" si="7"/>
        <v>556030</v>
      </c>
      <c r="AE130" s="28">
        <f t="shared" si="8"/>
        <v>3669294</v>
      </c>
    </row>
    <row r="131" spans="1:31" x14ac:dyDescent="0.4">
      <c r="A131" s="23">
        <v>46204</v>
      </c>
      <c r="B131" s="17">
        <v>11</v>
      </c>
      <c r="C131" s="24" t="str">
        <f>직원정보!B15</f>
        <v>S0011</v>
      </c>
      <c r="D131" s="25" t="str">
        <f>직원정보!C15</f>
        <v>카랑찬</v>
      </c>
      <c r="E131" s="24" t="str">
        <f>직원정보!D15</f>
        <v>C&amp;S 1팀</v>
      </c>
      <c r="F131" s="24" t="str">
        <f>직원정보!E15</f>
        <v>대리</v>
      </c>
      <c r="G131" s="14">
        <v>3100000</v>
      </c>
      <c r="H131" s="26">
        <f>ROUND(G131/요율기준!$B$14,0)</f>
        <v>14833</v>
      </c>
      <c r="I131" s="27">
        <v>23</v>
      </c>
      <c r="J131" s="27">
        <v>5</v>
      </c>
      <c r="K131" s="14">
        <v>260000</v>
      </c>
      <c r="L131" s="26">
        <f>ROUND(H131*요율기준!$B$15*I131,0)</f>
        <v>511739</v>
      </c>
      <c r="M131" s="26">
        <f>ROUND(H131*요율기준!$B$16*J131,0)</f>
        <v>37083</v>
      </c>
      <c r="N131" s="14">
        <v>50000</v>
      </c>
      <c r="O131" s="14">
        <v>100000</v>
      </c>
      <c r="P131" s="14">
        <v>0</v>
      </c>
      <c r="Q131" s="14">
        <v>100000</v>
      </c>
      <c r="R131" s="14">
        <v>200000</v>
      </c>
      <c r="S131" s="14">
        <v>0</v>
      </c>
      <c r="T131" s="28">
        <f t="shared" si="5"/>
        <v>4358822</v>
      </c>
      <c r="U131" s="26">
        <f>Q131+MIN(R131,요율기준!$B$17)+MIN(S131,요율기준!$B$18)</f>
        <v>300000</v>
      </c>
      <c r="V131" s="28">
        <f t="shared" si="6"/>
        <v>4058822</v>
      </c>
      <c r="W131" s="29">
        <f>'4대보험'!F131</f>
        <v>182640</v>
      </c>
      <c r="X131" s="29">
        <f>'4대보험'!H131</f>
        <v>143880</v>
      </c>
      <c r="Y131" s="29">
        <f>'4대보험'!J131</f>
        <v>18630</v>
      </c>
      <c r="Z131" s="29">
        <f>'4대보험'!L131</f>
        <v>36520</v>
      </c>
      <c r="AA131" s="29">
        <f>세금!P131</f>
        <v>187250</v>
      </c>
      <c r="AB131" s="29">
        <f>세금!Q131</f>
        <v>18720</v>
      </c>
      <c r="AC131" s="14">
        <v>0</v>
      </c>
      <c r="AD131" s="28">
        <f t="shared" si="7"/>
        <v>587640</v>
      </c>
      <c r="AE131" s="28">
        <f t="shared" si="8"/>
        <v>3771182</v>
      </c>
    </row>
    <row r="132" spans="1:31" x14ac:dyDescent="0.4">
      <c r="A132" s="23">
        <v>46235</v>
      </c>
      <c r="B132" s="17">
        <v>11</v>
      </c>
      <c r="C132" s="24" t="str">
        <f>직원정보!B15</f>
        <v>S0011</v>
      </c>
      <c r="D132" s="25" t="str">
        <f>직원정보!C15</f>
        <v>카랑찬</v>
      </c>
      <c r="E132" s="24" t="str">
        <f>직원정보!D15</f>
        <v>C&amp;S 1팀</v>
      </c>
      <c r="F132" s="24" t="str">
        <f>직원정보!E15</f>
        <v>대리</v>
      </c>
      <c r="G132" s="14">
        <v>3100000</v>
      </c>
      <c r="H132" s="26">
        <f>ROUND(G132/요율기준!$B$14,0)</f>
        <v>14833</v>
      </c>
      <c r="I132" s="27">
        <v>28</v>
      </c>
      <c r="J132" s="27">
        <v>8</v>
      </c>
      <c r="K132" s="14">
        <v>260000</v>
      </c>
      <c r="L132" s="26">
        <f>ROUND(H132*요율기준!$B$15*I132,0)</f>
        <v>622986</v>
      </c>
      <c r="M132" s="26">
        <f>ROUND(H132*요율기준!$B$16*J132,0)</f>
        <v>59332</v>
      </c>
      <c r="N132" s="14">
        <v>50000</v>
      </c>
      <c r="O132" s="14">
        <v>100000</v>
      </c>
      <c r="P132" s="14">
        <v>0</v>
      </c>
      <c r="Q132" s="14">
        <v>100000</v>
      </c>
      <c r="R132" s="14">
        <v>200000</v>
      </c>
      <c r="S132" s="14">
        <v>0</v>
      </c>
      <c r="T132" s="28">
        <f t="shared" si="5"/>
        <v>4492318</v>
      </c>
      <c r="U132" s="26">
        <f>Q132+MIN(R132,요율기준!$B$17)+MIN(S132,요율기준!$B$18)</f>
        <v>300000</v>
      </c>
      <c r="V132" s="28">
        <f t="shared" si="6"/>
        <v>4192318</v>
      </c>
      <c r="W132" s="29">
        <f>'4대보험'!F132</f>
        <v>188650</v>
      </c>
      <c r="X132" s="29">
        <f>'4대보험'!H132</f>
        <v>148610</v>
      </c>
      <c r="Y132" s="29">
        <f>'4대보험'!J132</f>
        <v>19240</v>
      </c>
      <c r="Z132" s="29">
        <f>'4대보험'!L132</f>
        <v>37730</v>
      </c>
      <c r="AA132" s="29">
        <f>세금!P132</f>
        <v>204570</v>
      </c>
      <c r="AB132" s="29">
        <f>세금!Q132</f>
        <v>20450</v>
      </c>
      <c r="AC132" s="14">
        <v>0</v>
      </c>
      <c r="AD132" s="28">
        <f t="shared" si="7"/>
        <v>619250</v>
      </c>
      <c r="AE132" s="28">
        <f t="shared" si="8"/>
        <v>3873068</v>
      </c>
    </row>
    <row r="133" spans="1:31" x14ac:dyDescent="0.4">
      <c r="A133" s="23">
        <v>46266</v>
      </c>
      <c r="B133" s="17">
        <v>11</v>
      </c>
      <c r="C133" s="24" t="str">
        <f>직원정보!B15</f>
        <v>S0011</v>
      </c>
      <c r="D133" s="25" t="str">
        <f>직원정보!C15</f>
        <v>카랑찬</v>
      </c>
      <c r="E133" s="24" t="str">
        <f>직원정보!D15</f>
        <v>C&amp;S 1팀</v>
      </c>
      <c r="F133" s="24" t="str">
        <f>직원정보!E15</f>
        <v>대리</v>
      </c>
      <c r="G133" s="14">
        <v>3100000</v>
      </c>
      <c r="H133" s="26">
        <f>ROUND(G133/요율기준!$B$14,0)</f>
        <v>14833</v>
      </c>
      <c r="I133" s="27">
        <v>8</v>
      </c>
      <c r="J133" s="27">
        <v>11</v>
      </c>
      <c r="K133" s="14">
        <v>260000</v>
      </c>
      <c r="L133" s="26">
        <f>ROUND(H133*요율기준!$B$15*I133,0)</f>
        <v>177996</v>
      </c>
      <c r="M133" s="26">
        <f>ROUND(H133*요율기준!$B$16*J133,0)</f>
        <v>81582</v>
      </c>
      <c r="N133" s="14">
        <v>50000</v>
      </c>
      <c r="O133" s="14">
        <v>100000</v>
      </c>
      <c r="P133" s="14">
        <v>0</v>
      </c>
      <c r="Q133" s="14">
        <v>100000</v>
      </c>
      <c r="R133" s="14">
        <v>200000</v>
      </c>
      <c r="S133" s="14">
        <v>0</v>
      </c>
      <c r="T133" s="28">
        <f t="shared" ref="T133:T196" si="9">G133+K133+L133+M133+N133+O133+P133+Q133+R133+S133</f>
        <v>4069578</v>
      </c>
      <c r="U133" s="26">
        <f>Q133+MIN(R133,요율기준!$B$17)+MIN(S133,요율기준!$B$18)</f>
        <v>300000</v>
      </c>
      <c r="V133" s="28">
        <f t="shared" ref="V133:V196" si="10">T133-U133</f>
        <v>3769578</v>
      </c>
      <c r="W133" s="29">
        <f>'4대보험'!F133</f>
        <v>169630</v>
      </c>
      <c r="X133" s="29">
        <f>'4대보험'!H133</f>
        <v>133630</v>
      </c>
      <c r="Y133" s="29">
        <f>'4대보험'!J133</f>
        <v>17300</v>
      </c>
      <c r="Z133" s="29">
        <f>'4대보험'!L133</f>
        <v>33920</v>
      </c>
      <c r="AA133" s="29">
        <f>세금!P133</f>
        <v>149720</v>
      </c>
      <c r="AB133" s="29">
        <f>세금!Q133</f>
        <v>14970</v>
      </c>
      <c r="AC133" s="14">
        <v>0</v>
      </c>
      <c r="AD133" s="28">
        <f t="shared" ref="AD133:AD196" si="11">SUM(W133:AC133)</f>
        <v>519170</v>
      </c>
      <c r="AE133" s="28">
        <f t="shared" ref="AE133:AE196" si="12">T133-AD133</f>
        <v>3550408</v>
      </c>
    </row>
    <row r="134" spans="1:31" x14ac:dyDescent="0.4">
      <c r="A134" s="23">
        <v>46296</v>
      </c>
      <c r="B134" s="17">
        <v>11</v>
      </c>
      <c r="C134" s="24" t="str">
        <f>직원정보!B15</f>
        <v>S0011</v>
      </c>
      <c r="D134" s="25" t="str">
        <f>직원정보!C15</f>
        <v>카랑찬</v>
      </c>
      <c r="E134" s="24" t="str">
        <f>직원정보!D15</f>
        <v>C&amp;S 1팀</v>
      </c>
      <c r="F134" s="24" t="str">
        <f>직원정보!E15</f>
        <v>대리</v>
      </c>
      <c r="G134" s="14">
        <v>3100000</v>
      </c>
      <c r="H134" s="26">
        <f>ROUND(G134/요율기준!$B$14,0)</f>
        <v>14833</v>
      </c>
      <c r="I134" s="27">
        <v>13</v>
      </c>
      <c r="J134" s="27">
        <v>2</v>
      </c>
      <c r="K134" s="14">
        <v>260000</v>
      </c>
      <c r="L134" s="26">
        <f>ROUND(H134*요율기준!$B$15*I134,0)</f>
        <v>289244</v>
      </c>
      <c r="M134" s="26">
        <f>ROUND(H134*요율기준!$B$16*J134,0)</f>
        <v>14833</v>
      </c>
      <c r="N134" s="14">
        <v>50000</v>
      </c>
      <c r="O134" s="14">
        <v>100000</v>
      </c>
      <c r="P134" s="14">
        <v>0</v>
      </c>
      <c r="Q134" s="14">
        <v>100000</v>
      </c>
      <c r="R134" s="14">
        <v>200000</v>
      </c>
      <c r="S134" s="14">
        <v>0</v>
      </c>
      <c r="T134" s="28">
        <f t="shared" si="9"/>
        <v>4114077</v>
      </c>
      <c r="U134" s="26">
        <f>Q134+MIN(R134,요율기준!$B$17)+MIN(S134,요율기준!$B$18)</f>
        <v>300000</v>
      </c>
      <c r="V134" s="28">
        <f t="shared" si="10"/>
        <v>3814077</v>
      </c>
      <c r="W134" s="29">
        <f>'4대보험'!F134</f>
        <v>171630</v>
      </c>
      <c r="X134" s="29">
        <f>'4대보험'!H134</f>
        <v>135200</v>
      </c>
      <c r="Y134" s="29">
        <f>'4대보험'!J134</f>
        <v>17500</v>
      </c>
      <c r="Z134" s="29">
        <f>'4대보험'!L134</f>
        <v>34320</v>
      </c>
      <c r="AA134" s="29">
        <f>세금!P134</f>
        <v>155500</v>
      </c>
      <c r="AB134" s="29">
        <f>세금!Q134</f>
        <v>15550</v>
      </c>
      <c r="AC134" s="14">
        <v>0</v>
      </c>
      <c r="AD134" s="28">
        <f t="shared" si="11"/>
        <v>529700</v>
      </c>
      <c r="AE134" s="28">
        <f t="shared" si="12"/>
        <v>3584377</v>
      </c>
    </row>
    <row r="135" spans="1:31" x14ac:dyDescent="0.4">
      <c r="A135" s="23">
        <v>46327</v>
      </c>
      <c r="B135" s="17">
        <v>11</v>
      </c>
      <c r="C135" s="24" t="str">
        <f>직원정보!B15</f>
        <v>S0011</v>
      </c>
      <c r="D135" s="25" t="str">
        <f>직원정보!C15</f>
        <v>카랑찬</v>
      </c>
      <c r="E135" s="24" t="str">
        <f>직원정보!D15</f>
        <v>C&amp;S 1팀</v>
      </c>
      <c r="F135" s="24" t="str">
        <f>직원정보!E15</f>
        <v>대리</v>
      </c>
      <c r="G135" s="14">
        <v>3100000</v>
      </c>
      <c r="H135" s="26">
        <f>ROUND(G135/요율기준!$B$14,0)</f>
        <v>14833</v>
      </c>
      <c r="I135" s="27">
        <v>18</v>
      </c>
      <c r="J135" s="27">
        <v>5</v>
      </c>
      <c r="K135" s="14">
        <v>260000</v>
      </c>
      <c r="L135" s="26">
        <f>ROUND(H135*요율기준!$B$15*I135,0)</f>
        <v>400491</v>
      </c>
      <c r="M135" s="26">
        <f>ROUND(H135*요율기준!$B$16*J135,0)</f>
        <v>37083</v>
      </c>
      <c r="N135" s="14">
        <v>50000</v>
      </c>
      <c r="O135" s="14">
        <v>100000</v>
      </c>
      <c r="P135" s="14">
        <v>0</v>
      </c>
      <c r="Q135" s="14">
        <v>100000</v>
      </c>
      <c r="R135" s="14">
        <v>200000</v>
      </c>
      <c r="S135" s="14">
        <v>0</v>
      </c>
      <c r="T135" s="28">
        <f t="shared" si="9"/>
        <v>4247574</v>
      </c>
      <c r="U135" s="26">
        <f>Q135+MIN(R135,요율기준!$B$17)+MIN(S135,요율기준!$B$18)</f>
        <v>300000</v>
      </c>
      <c r="V135" s="28">
        <f t="shared" si="10"/>
        <v>3947574</v>
      </c>
      <c r="W135" s="29">
        <f>'4대보험'!F135</f>
        <v>177640</v>
      </c>
      <c r="X135" s="29">
        <f>'4대보험'!H135</f>
        <v>139940</v>
      </c>
      <c r="Y135" s="29">
        <f>'4대보험'!J135</f>
        <v>18120</v>
      </c>
      <c r="Z135" s="29">
        <f>'4대보험'!L135</f>
        <v>35520</v>
      </c>
      <c r="AA135" s="29">
        <f>세금!P135</f>
        <v>172820</v>
      </c>
      <c r="AB135" s="29">
        <f>세금!Q135</f>
        <v>17280</v>
      </c>
      <c r="AC135" s="14">
        <v>0</v>
      </c>
      <c r="AD135" s="28">
        <f t="shared" si="11"/>
        <v>561320</v>
      </c>
      <c r="AE135" s="28">
        <f t="shared" si="12"/>
        <v>3686254</v>
      </c>
    </row>
    <row r="136" spans="1:31" x14ac:dyDescent="0.4">
      <c r="A136" s="23">
        <v>46357</v>
      </c>
      <c r="B136" s="17">
        <v>11</v>
      </c>
      <c r="C136" s="24" t="str">
        <f>직원정보!B15</f>
        <v>S0011</v>
      </c>
      <c r="D136" s="25" t="str">
        <f>직원정보!C15</f>
        <v>카랑찬</v>
      </c>
      <c r="E136" s="24" t="str">
        <f>직원정보!D15</f>
        <v>C&amp;S 1팀</v>
      </c>
      <c r="F136" s="24" t="str">
        <f>직원정보!E15</f>
        <v>대리</v>
      </c>
      <c r="G136" s="14">
        <v>3100000</v>
      </c>
      <c r="H136" s="26">
        <f>ROUND(G136/요율기준!$B$14,0)</f>
        <v>14833</v>
      </c>
      <c r="I136" s="27">
        <v>23</v>
      </c>
      <c r="J136" s="27">
        <v>8</v>
      </c>
      <c r="K136" s="14">
        <v>260000</v>
      </c>
      <c r="L136" s="26">
        <f>ROUND(H136*요율기준!$B$15*I136,0)</f>
        <v>511739</v>
      </c>
      <c r="M136" s="26">
        <f>ROUND(H136*요율기준!$B$16*J136,0)</f>
        <v>59332</v>
      </c>
      <c r="N136" s="14">
        <v>50000</v>
      </c>
      <c r="O136" s="14">
        <v>100000</v>
      </c>
      <c r="P136" s="14">
        <v>0</v>
      </c>
      <c r="Q136" s="14">
        <v>100000</v>
      </c>
      <c r="R136" s="14">
        <v>200000</v>
      </c>
      <c r="S136" s="14">
        <v>0</v>
      </c>
      <c r="T136" s="28">
        <f t="shared" si="9"/>
        <v>4381071</v>
      </c>
      <c r="U136" s="26">
        <f>Q136+MIN(R136,요율기준!$B$17)+MIN(S136,요율기준!$B$18)</f>
        <v>300000</v>
      </c>
      <c r="V136" s="28">
        <f t="shared" si="10"/>
        <v>4081071</v>
      </c>
      <c r="W136" s="29">
        <f>'4대보험'!F136</f>
        <v>183640</v>
      </c>
      <c r="X136" s="29">
        <f>'4대보험'!H136</f>
        <v>144670</v>
      </c>
      <c r="Y136" s="29">
        <f>'4대보험'!J136</f>
        <v>18730</v>
      </c>
      <c r="Z136" s="29">
        <f>'4대보험'!L136</f>
        <v>36720</v>
      </c>
      <c r="AA136" s="29">
        <f>세금!P136</f>
        <v>190140</v>
      </c>
      <c r="AB136" s="29">
        <f>세금!Q136</f>
        <v>19010</v>
      </c>
      <c r="AC136" s="14">
        <v>0</v>
      </c>
      <c r="AD136" s="28">
        <f t="shared" si="11"/>
        <v>592910</v>
      </c>
      <c r="AE136" s="28">
        <f t="shared" si="12"/>
        <v>3788161</v>
      </c>
    </row>
    <row r="137" spans="1:31" x14ac:dyDescent="0.4">
      <c r="A137" s="23">
        <v>46023</v>
      </c>
      <c r="B137" s="17">
        <v>12</v>
      </c>
      <c r="C137" s="24" t="str">
        <f>직원정보!B16</f>
        <v>S0012</v>
      </c>
      <c r="D137" s="25" t="str">
        <f>직원정보!C16</f>
        <v>타래솔</v>
      </c>
      <c r="E137" s="24" t="str">
        <f>직원정보!D16</f>
        <v>C&amp;R팀</v>
      </c>
      <c r="F137" s="24" t="str">
        <f>직원정보!E16</f>
        <v>반장</v>
      </c>
      <c r="G137" s="14">
        <v>3000000</v>
      </c>
      <c r="H137" s="26">
        <f>ROUND(G137/요율기준!$B$14,0)</f>
        <v>14354</v>
      </c>
      <c r="I137" s="27">
        <v>21</v>
      </c>
      <c r="J137" s="27">
        <v>1</v>
      </c>
      <c r="K137" s="14">
        <v>250000</v>
      </c>
      <c r="L137" s="26">
        <f>ROUND(H137*요율기준!$B$15*I137,0)</f>
        <v>452151</v>
      </c>
      <c r="M137" s="26">
        <f>ROUND(H137*요율기준!$B$16*J137,0)</f>
        <v>7177</v>
      </c>
      <c r="N137" s="14">
        <v>50000</v>
      </c>
      <c r="O137" s="14">
        <v>100000</v>
      </c>
      <c r="P137" s="14">
        <v>100000</v>
      </c>
      <c r="Q137" s="14">
        <v>100000</v>
      </c>
      <c r="R137" s="14">
        <v>200000</v>
      </c>
      <c r="S137" s="14">
        <v>0</v>
      </c>
      <c r="T137" s="28">
        <f t="shared" si="9"/>
        <v>4259328</v>
      </c>
      <c r="U137" s="26">
        <f>Q137+MIN(R137,요율기준!$B$17)+MIN(S137,요율기준!$B$18)</f>
        <v>300000</v>
      </c>
      <c r="V137" s="28">
        <f t="shared" si="10"/>
        <v>3959328</v>
      </c>
      <c r="W137" s="29">
        <f>'4대보험'!F137</f>
        <v>178160</v>
      </c>
      <c r="X137" s="29">
        <f>'4대보험'!H137</f>
        <v>140350</v>
      </c>
      <c r="Y137" s="29">
        <f>'4대보험'!J137</f>
        <v>18170</v>
      </c>
      <c r="Z137" s="29">
        <f>'4대보험'!L137</f>
        <v>35630</v>
      </c>
      <c r="AA137" s="29">
        <f>세금!P137</f>
        <v>174340</v>
      </c>
      <c r="AB137" s="29">
        <f>세금!Q137</f>
        <v>17430</v>
      </c>
      <c r="AC137" s="14">
        <v>0</v>
      </c>
      <c r="AD137" s="28">
        <f t="shared" si="11"/>
        <v>564080</v>
      </c>
      <c r="AE137" s="28">
        <f t="shared" si="12"/>
        <v>3695248</v>
      </c>
    </row>
    <row r="138" spans="1:31" x14ac:dyDescent="0.4">
      <c r="A138" s="23">
        <v>46054</v>
      </c>
      <c r="B138" s="17">
        <v>12</v>
      </c>
      <c r="C138" s="24" t="str">
        <f>직원정보!B16</f>
        <v>S0012</v>
      </c>
      <c r="D138" s="25" t="str">
        <f>직원정보!C16</f>
        <v>타래솔</v>
      </c>
      <c r="E138" s="24" t="str">
        <f>직원정보!D16</f>
        <v>C&amp;R팀</v>
      </c>
      <c r="F138" s="24" t="str">
        <f>직원정보!E16</f>
        <v>반장</v>
      </c>
      <c r="G138" s="14">
        <v>3000000</v>
      </c>
      <c r="H138" s="26">
        <f>ROUND(G138/요율기준!$B$14,0)</f>
        <v>14354</v>
      </c>
      <c r="I138" s="27">
        <v>26</v>
      </c>
      <c r="J138" s="27">
        <v>4</v>
      </c>
      <c r="K138" s="14">
        <v>250000</v>
      </c>
      <c r="L138" s="26">
        <f>ROUND(H138*요율기준!$B$15*I138,0)</f>
        <v>559806</v>
      </c>
      <c r="M138" s="26">
        <f>ROUND(H138*요율기준!$B$16*J138,0)</f>
        <v>28708</v>
      </c>
      <c r="N138" s="14">
        <v>50000</v>
      </c>
      <c r="O138" s="14">
        <v>100000</v>
      </c>
      <c r="P138" s="14">
        <v>100000</v>
      </c>
      <c r="Q138" s="14">
        <v>100000</v>
      </c>
      <c r="R138" s="14">
        <v>200000</v>
      </c>
      <c r="S138" s="14">
        <v>0</v>
      </c>
      <c r="T138" s="28">
        <f t="shared" si="9"/>
        <v>4388514</v>
      </c>
      <c r="U138" s="26">
        <f>Q138+MIN(R138,요율기준!$B$17)+MIN(S138,요율기준!$B$18)</f>
        <v>300000</v>
      </c>
      <c r="V138" s="28">
        <f t="shared" si="10"/>
        <v>4088514</v>
      </c>
      <c r="W138" s="29">
        <f>'4대보험'!F138</f>
        <v>183980</v>
      </c>
      <c r="X138" s="29">
        <f>'4대보험'!H138</f>
        <v>144930</v>
      </c>
      <c r="Y138" s="29">
        <f>'4대보험'!J138</f>
        <v>18760</v>
      </c>
      <c r="Z138" s="29">
        <f>'4대보험'!L138</f>
        <v>36790</v>
      </c>
      <c r="AA138" s="29">
        <f>세금!P138</f>
        <v>191110</v>
      </c>
      <c r="AB138" s="29">
        <f>세금!Q138</f>
        <v>19110</v>
      </c>
      <c r="AC138" s="14">
        <v>0</v>
      </c>
      <c r="AD138" s="28">
        <f t="shared" si="11"/>
        <v>594680</v>
      </c>
      <c r="AE138" s="28">
        <f t="shared" si="12"/>
        <v>3793834</v>
      </c>
    </row>
    <row r="139" spans="1:31" x14ac:dyDescent="0.4">
      <c r="A139" s="23">
        <v>46082</v>
      </c>
      <c r="B139" s="17">
        <v>12</v>
      </c>
      <c r="C139" s="24" t="str">
        <f>직원정보!B16</f>
        <v>S0012</v>
      </c>
      <c r="D139" s="25" t="str">
        <f>직원정보!C16</f>
        <v>타래솔</v>
      </c>
      <c r="E139" s="24" t="str">
        <f>직원정보!D16</f>
        <v>C&amp;R팀</v>
      </c>
      <c r="F139" s="24" t="str">
        <f>직원정보!E16</f>
        <v>반장</v>
      </c>
      <c r="G139" s="14">
        <v>3000000</v>
      </c>
      <c r="H139" s="26">
        <f>ROUND(G139/요율기준!$B$14,0)</f>
        <v>14354</v>
      </c>
      <c r="I139" s="27">
        <v>31</v>
      </c>
      <c r="J139" s="27">
        <v>7</v>
      </c>
      <c r="K139" s="14">
        <v>250000</v>
      </c>
      <c r="L139" s="26">
        <f>ROUND(H139*요율기준!$B$15*I139,0)</f>
        <v>667461</v>
      </c>
      <c r="M139" s="26">
        <f>ROUND(H139*요율기준!$B$16*J139,0)</f>
        <v>50239</v>
      </c>
      <c r="N139" s="14">
        <v>50000</v>
      </c>
      <c r="O139" s="14">
        <v>100000</v>
      </c>
      <c r="P139" s="14">
        <v>100000</v>
      </c>
      <c r="Q139" s="14">
        <v>100000</v>
      </c>
      <c r="R139" s="14">
        <v>200000</v>
      </c>
      <c r="S139" s="14">
        <v>0</v>
      </c>
      <c r="T139" s="28">
        <f t="shared" si="9"/>
        <v>4517700</v>
      </c>
      <c r="U139" s="26">
        <f>Q139+MIN(R139,요율기준!$B$17)+MIN(S139,요율기준!$B$18)</f>
        <v>300000</v>
      </c>
      <c r="V139" s="28">
        <f t="shared" si="10"/>
        <v>4217700</v>
      </c>
      <c r="W139" s="29">
        <f>'4대보험'!F139</f>
        <v>189790</v>
      </c>
      <c r="X139" s="29">
        <f>'4대보험'!H139</f>
        <v>149510</v>
      </c>
      <c r="Y139" s="29">
        <f>'4대보험'!J139</f>
        <v>19360</v>
      </c>
      <c r="Z139" s="29">
        <f>'4대보험'!L139</f>
        <v>37950</v>
      </c>
      <c r="AA139" s="29">
        <f>세금!P139</f>
        <v>207870</v>
      </c>
      <c r="AB139" s="29">
        <f>세금!Q139</f>
        <v>20780</v>
      </c>
      <c r="AC139" s="14">
        <v>0</v>
      </c>
      <c r="AD139" s="28">
        <f t="shared" si="11"/>
        <v>625260</v>
      </c>
      <c r="AE139" s="28">
        <f t="shared" si="12"/>
        <v>3892440</v>
      </c>
    </row>
    <row r="140" spans="1:31" x14ac:dyDescent="0.4">
      <c r="A140" s="23">
        <v>46113</v>
      </c>
      <c r="B140" s="17">
        <v>12</v>
      </c>
      <c r="C140" s="24" t="str">
        <f>직원정보!B16</f>
        <v>S0012</v>
      </c>
      <c r="D140" s="25" t="str">
        <f>직원정보!C16</f>
        <v>타래솔</v>
      </c>
      <c r="E140" s="24" t="str">
        <f>직원정보!D16</f>
        <v>C&amp;R팀</v>
      </c>
      <c r="F140" s="24" t="str">
        <f>직원정보!E16</f>
        <v>반장</v>
      </c>
      <c r="G140" s="14">
        <v>3000000</v>
      </c>
      <c r="H140" s="26">
        <f>ROUND(G140/요율기준!$B$14,0)</f>
        <v>14354</v>
      </c>
      <c r="I140" s="27">
        <v>11</v>
      </c>
      <c r="J140" s="27">
        <v>10</v>
      </c>
      <c r="K140" s="14">
        <v>250000</v>
      </c>
      <c r="L140" s="26">
        <f>ROUND(H140*요율기준!$B$15*I140,0)</f>
        <v>236841</v>
      </c>
      <c r="M140" s="26">
        <f>ROUND(H140*요율기준!$B$16*J140,0)</f>
        <v>71770</v>
      </c>
      <c r="N140" s="14">
        <v>50000</v>
      </c>
      <c r="O140" s="14">
        <v>100000</v>
      </c>
      <c r="P140" s="14">
        <v>100000</v>
      </c>
      <c r="Q140" s="14">
        <v>100000</v>
      </c>
      <c r="R140" s="14">
        <v>200000</v>
      </c>
      <c r="S140" s="14">
        <v>0</v>
      </c>
      <c r="T140" s="28">
        <f t="shared" si="9"/>
        <v>4108611</v>
      </c>
      <c r="U140" s="26">
        <f>Q140+MIN(R140,요율기준!$B$17)+MIN(S140,요율기준!$B$18)</f>
        <v>300000</v>
      </c>
      <c r="V140" s="28">
        <f t="shared" si="10"/>
        <v>3808611</v>
      </c>
      <c r="W140" s="29">
        <f>'4대보험'!F140</f>
        <v>171380</v>
      </c>
      <c r="X140" s="29">
        <f>'4대보험'!H140</f>
        <v>135010</v>
      </c>
      <c r="Y140" s="29">
        <f>'4대보험'!J140</f>
        <v>17480</v>
      </c>
      <c r="Z140" s="29">
        <f>'4대보험'!L140</f>
        <v>34270</v>
      </c>
      <c r="AA140" s="29">
        <f>세금!P140</f>
        <v>154790</v>
      </c>
      <c r="AB140" s="29">
        <f>세금!Q140</f>
        <v>15470</v>
      </c>
      <c r="AC140" s="14">
        <v>0</v>
      </c>
      <c r="AD140" s="28">
        <f t="shared" si="11"/>
        <v>528400</v>
      </c>
      <c r="AE140" s="28">
        <f t="shared" si="12"/>
        <v>3580211</v>
      </c>
    </row>
    <row r="141" spans="1:31" x14ac:dyDescent="0.4">
      <c r="A141" s="23">
        <v>46143</v>
      </c>
      <c r="B141" s="17">
        <v>12</v>
      </c>
      <c r="C141" s="24" t="str">
        <f>직원정보!B16</f>
        <v>S0012</v>
      </c>
      <c r="D141" s="25" t="str">
        <f>직원정보!C16</f>
        <v>타래솔</v>
      </c>
      <c r="E141" s="24" t="str">
        <f>직원정보!D16</f>
        <v>C&amp;R팀</v>
      </c>
      <c r="F141" s="24" t="str">
        <f>직원정보!E16</f>
        <v>반장</v>
      </c>
      <c r="G141" s="14">
        <v>3000000</v>
      </c>
      <c r="H141" s="26">
        <f>ROUND(G141/요율기준!$B$14,0)</f>
        <v>14354</v>
      </c>
      <c r="I141" s="27">
        <v>16</v>
      </c>
      <c r="J141" s="27">
        <v>1</v>
      </c>
      <c r="K141" s="14">
        <v>250000</v>
      </c>
      <c r="L141" s="26">
        <f>ROUND(H141*요율기준!$B$15*I141,0)</f>
        <v>344496</v>
      </c>
      <c r="M141" s="26">
        <f>ROUND(H141*요율기준!$B$16*J141,0)</f>
        <v>7177</v>
      </c>
      <c r="N141" s="14">
        <v>50000</v>
      </c>
      <c r="O141" s="14">
        <v>100000</v>
      </c>
      <c r="P141" s="14">
        <v>100000</v>
      </c>
      <c r="Q141" s="14">
        <v>100000</v>
      </c>
      <c r="R141" s="14">
        <v>200000</v>
      </c>
      <c r="S141" s="14">
        <v>0</v>
      </c>
      <c r="T141" s="28">
        <f t="shared" si="9"/>
        <v>4151673</v>
      </c>
      <c r="U141" s="26">
        <f>Q141+MIN(R141,요율기준!$B$17)+MIN(S141,요율기준!$B$18)</f>
        <v>300000</v>
      </c>
      <c r="V141" s="28">
        <f t="shared" si="10"/>
        <v>3851673</v>
      </c>
      <c r="W141" s="29">
        <f>'4대보험'!F141</f>
        <v>173320</v>
      </c>
      <c r="X141" s="29">
        <f>'4대보험'!H141</f>
        <v>136540</v>
      </c>
      <c r="Y141" s="29">
        <f>'4대보험'!J141</f>
        <v>17680</v>
      </c>
      <c r="Z141" s="29">
        <f>'4대보험'!L141</f>
        <v>34660</v>
      </c>
      <c r="AA141" s="29">
        <f>세금!P141</f>
        <v>160380</v>
      </c>
      <c r="AB141" s="29">
        <f>세금!Q141</f>
        <v>16030</v>
      </c>
      <c r="AC141" s="14">
        <v>0</v>
      </c>
      <c r="AD141" s="28">
        <f t="shared" si="11"/>
        <v>538610</v>
      </c>
      <c r="AE141" s="28">
        <f t="shared" si="12"/>
        <v>3613063</v>
      </c>
    </row>
    <row r="142" spans="1:31" x14ac:dyDescent="0.4">
      <c r="A142" s="23">
        <v>46174</v>
      </c>
      <c r="B142" s="17">
        <v>12</v>
      </c>
      <c r="C142" s="24" t="str">
        <f>직원정보!B16</f>
        <v>S0012</v>
      </c>
      <c r="D142" s="25" t="str">
        <f>직원정보!C16</f>
        <v>타래솔</v>
      </c>
      <c r="E142" s="24" t="str">
        <f>직원정보!D16</f>
        <v>C&amp;R팀</v>
      </c>
      <c r="F142" s="24" t="str">
        <f>직원정보!E16</f>
        <v>반장</v>
      </c>
      <c r="G142" s="14">
        <v>3000000</v>
      </c>
      <c r="H142" s="26">
        <f>ROUND(G142/요율기준!$B$14,0)</f>
        <v>14354</v>
      </c>
      <c r="I142" s="27">
        <v>21</v>
      </c>
      <c r="J142" s="27">
        <v>4</v>
      </c>
      <c r="K142" s="14">
        <v>250000</v>
      </c>
      <c r="L142" s="26">
        <f>ROUND(H142*요율기준!$B$15*I142,0)</f>
        <v>452151</v>
      </c>
      <c r="M142" s="26">
        <f>ROUND(H142*요율기준!$B$16*J142,0)</f>
        <v>28708</v>
      </c>
      <c r="N142" s="14">
        <v>50000</v>
      </c>
      <c r="O142" s="14">
        <v>100000</v>
      </c>
      <c r="P142" s="14">
        <v>100000</v>
      </c>
      <c r="Q142" s="14">
        <v>100000</v>
      </c>
      <c r="R142" s="14">
        <v>200000</v>
      </c>
      <c r="S142" s="14">
        <v>0</v>
      </c>
      <c r="T142" s="28">
        <f t="shared" si="9"/>
        <v>4280859</v>
      </c>
      <c r="U142" s="26">
        <f>Q142+MIN(R142,요율기준!$B$17)+MIN(S142,요율기준!$B$18)</f>
        <v>300000</v>
      </c>
      <c r="V142" s="28">
        <f t="shared" si="10"/>
        <v>3980859</v>
      </c>
      <c r="W142" s="29">
        <f>'4대보험'!F142</f>
        <v>179130</v>
      </c>
      <c r="X142" s="29">
        <f>'4대보험'!H142</f>
        <v>141120</v>
      </c>
      <c r="Y142" s="29">
        <f>'4대보험'!J142</f>
        <v>18270</v>
      </c>
      <c r="Z142" s="29">
        <f>'4대보험'!L142</f>
        <v>35820</v>
      </c>
      <c r="AA142" s="29">
        <f>세금!P142</f>
        <v>177140</v>
      </c>
      <c r="AB142" s="29">
        <f>세금!Q142</f>
        <v>17710</v>
      </c>
      <c r="AC142" s="14">
        <v>0</v>
      </c>
      <c r="AD142" s="28">
        <f t="shared" si="11"/>
        <v>569190</v>
      </c>
      <c r="AE142" s="28">
        <f t="shared" si="12"/>
        <v>3711669</v>
      </c>
    </row>
    <row r="143" spans="1:31" x14ac:dyDescent="0.4">
      <c r="A143" s="23">
        <v>46204</v>
      </c>
      <c r="B143" s="17">
        <v>12</v>
      </c>
      <c r="C143" s="24" t="str">
        <f>직원정보!B16</f>
        <v>S0012</v>
      </c>
      <c r="D143" s="25" t="str">
        <f>직원정보!C16</f>
        <v>타래솔</v>
      </c>
      <c r="E143" s="24" t="str">
        <f>직원정보!D16</f>
        <v>C&amp;R팀</v>
      </c>
      <c r="F143" s="24" t="str">
        <f>직원정보!E16</f>
        <v>반장</v>
      </c>
      <c r="G143" s="14">
        <v>3000000</v>
      </c>
      <c r="H143" s="26">
        <f>ROUND(G143/요율기준!$B$14,0)</f>
        <v>14354</v>
      </c>
      <c r="I143" s="27">
        <v>26</v>
      </c>
      <c r="J143" s="27">
        <v>7</v>
      </c>
      <c r="K143" s="14">
        <v>250000</v>
      </c>
      <c r="L143" s="26">
        <f>ROUND(H143*요율기준!$B$15*I143,0)</f>
        <v>559806</v>
      </c>
      <c r="M143" s="26">
        <f>ROUND(H143*요율기준!$B$16*J143,0)</f>
        <v>50239</v>
      </c>
      <c r="N143" s="14">
        <v>50000</v>
      </c>
      <c r="O143" s="14">
        <v>100000</v>
      </c>
      <c r="P143" s="14">
        <v>100000</v>
      </c>
      <c r="Q143" s="14">
        <v>100000</v>
      </c>
      <c r="R143" s="14">
        <v>200000</v>
      </c>
      <c r="S143" s="14">
        <v>0</v>
      </c>
      <c r="T143" s="28">
        <f t="shared" si="9"/>
        <v>4410045</v>
      </c>
      <c r="U143" s="26">
        <f>Q143+MIN(R143,요율기준!$B$17)+MIN(S143,요율기준!$B$18)</f>
        <v>300000</v>
      </c>
      <c r="V143" s="28">
        <f t="shared" si="10"/>
        <v>4110045</v>
      </c>
      <c r="W143" s="29">
        <f>'4대보험'!F143</f>
        <v>184950</v>
      </c>
      <c r="X143" s="29">
        <f>'4대보험'!H143</f>
        <v>145700</v>
      </c>
      <c r="Y143" s="29">
        <f>'4대보험'!J143</f>
        <v>18860</v>
      </c>
      <c r="Z143" s="29">
        <f>'4대보험'!L143</f>
        <v>36990</v>
      </c>
      <c r="AA143" s="29">
        <f>세금!P143</f>
        <v>193900</v>
      </c>
      <c r="AB143" s="29">
        <f>세금!Q143</f>
        <v>19390</v>
      </c>
      <c r="AC143" s="14">
        <v>0</v>
      </c>
      <c r="AD143" s="28">
        <f t="shared" si="11"/>
        <v>599790</v>
      </c>
      <c r="AE143" s="28">
        <f t="shared" si="12"/>
        <v>3810255</v>
      </c>
    </row>
    <row r="144" spans="1:31" x14ac:dyDescent="0.4">
      <c r="A144" s="23">
        <v>46235</v>
      </c>
      <c r="B144" s="17">
        <v>12</v>
      </c>
      <c r="C144" s="24" t="str">
        <f>직원정보!B16</f>
        <v>S0012</v>
      </c>
      <c r="D144" s="25" t="str">
        <f>직원정보!C16</f>
        <v>타래솔</v>
      </c>
      <c r="E144" s="24" t="str">
        <f>직원정보!D16</f>
        <v>C&amp;R팀</v>
      </c>
      <c r="F144" s="24" t="str">
        <f>직원정보!E16</f>
        <v>반장</v>
      </c>
      <c r="G144" s="14">
        <v>3000000</v>
      </c>
      <c r="H144" s="26">
        <f>ROUND(G144/요율기준!$B$14,0)</f>
        <v>14354</v>
      </c>
      <c r="I144" s="27">
        <v>31</v>
      </c>
      <c r="J144" s="27">
        <v>10</v>
      </c>
      <c r="K144" s="14">
        <v>250000</v>
      </c>
      <c r="L144" s="26">
        <f>ROUND(H144*요율기준!$B$15*I144,0)</f>
        <v>667461</v>
      </c>
      <c r="M144" s="26">
        <f>ROUND(H144*요율기준!$B$16*J144,0)</f>
        <v>71770</v>
      </c>
      <c r="N144" s="14">
        <v>50000</v>
      </c>
      <c r="O144" s="14">
        <v>100000</v>
      </c>
      <c r="P144" s="14">
        <v>100000</v>
      </c>
      <c r="Q144" s="14">
        <v>100000</v>
      </c>
      <c r="R144" s="14">
        <v>200000</v>
      </c>
      <c r="S144" s="14">
        <v>0</v>
      </c>
      <c r="T144" s="28">
        <f t="shared" si="9"/>
        <v>4539231</v>
      </c>
      <c r="U144" s="26">
        <f>Q144+MIN(R144,요율기준!$B$17)+MIN(S144,요율기준!$B$18)</f>
        <v>300000</v>
      </c>
      <c r="V144" s="28">
        <f t="shared" si="10"/>
        <v>4239231</v>
      </c>
      <c r="W144" s="29">
        <f>'4대보험'!F144</f>
        <v>190760</v>
      </c>
      <c r="X144" s="29">
        <f>'4대보험'!H144</f>
        <v>150280</v>
      </c>
      <c r="Y144" s="29">
        <f>'4대보험'!J144</f>
        <v>19460</v>
      </c>
      <c r="Z144" s="29">
        <f>'4대보험'!L144</f>
        <v>38150</v>
      </c>
      <c r="AA144" s="29">
        <f>세금!P144</f>
        <v>210660</v>
      </c>
      <c r="AB144" s="29">
        <f>세금!Q144</f>
        <v>21060</v>
      </c>
      <c r="AC144" s="14">
        <v>0</v>
      </c>
      <c r="AD144" s="28">
        <f t="shared" si="11"/>
        <v>630370</v>
      </c>
      <c r="AE144" s="28">
        <f t="shared" si="12"/>
        <v>3908861</v>
      </c>
    </row>
    <row r="145" spans="1:31" x14ac:dyDescent="0.4">
      <c r="A145" s="23">
        <v>46266</v>
      </c>
      <c r="B145" s="17">
        <v>12</v>
      </c>
      <c r="C145" s="24" t="str">
        <f>직원정보!B16</f>
        <v>S0012</v>
      </c>
      <c r="D145" s="25" t="str">
        <f>직원정보!C16</f>
        <v>타래솔</v>
      </c>
      <c r="E145" s="24" t="str">
        <f>직원정보!D16</f>
        <v>C&amp;R팀</v>
      </c>
      <c r="F145" s="24" t="str">
        <f>직원정보!E16</f>
        <v>반장</v>
      </c>
      <c r="G145" s="14">
        <v>3000000</v>
      </c>
      <c r="H145" s="26">
        <f>ROUND(G145/요율기준!$B$14,0)</f>
        <v>14354</v>
      </c>
      <c r="I145" s="27">
        <v>11</v>
      </c>
      <c r="J145" s="27">
        <v>1</v>
      </c>
      <c r="K145" s="14">
        <v>250000</v>
      </c>
      <c r="L145" s="26">
        <f>ROUND(H145*요율기준!$B$15*I145,0)</f>
        <v>236841</v>
      </c>
      <c r="M145" s="26">
        <f>ROUND(H145*요율기준!$B$16*J145,0)</f>
        <v>7177</v>
      </c>
      <c r="N145" s="14">
        <v>50000</v>
      </c>
      <c r="O145" s="14">
        <v>100000</v>
      </c>
      <c r="P145" s="14">
        <v>100000</v>
      </c>
      <c r="Q145" s="14">
        <v>100000</v>
      </c>
      <c r="R145" s="14">
        <v>200000</v>
      </c>
      <c r="S145" s="14">
        <v>0</v>
      </c>
      <c r="T145" s="28">
        <f t="shared" si="9"/>
        <v>4044018</v>
      </c>
      <c r="U145" s="26">
        <f>Q145+MIN(R145,요율기준!$B$17)+MIN(S145,요율기준!$B$18)</f>
        <v>300000</v>
      </c>
      <c r="V145" s="28">
        <f t="shared" si="10"/>
        <v>3744018</v>
      </c>
      <c r="W145" s="29">
        <f>'4대보험'!F145</f>
        <v>168480</v>
      </c>
      <c r="X145" s="29">
        <f>'4대보험'!H145</f>
        <v>132720</v>
      </c>
      <c r="Y145" s="29">
        <f>'4대보험'!J145</f>
        <v>17180</v>
      </c>
      <c r="Z145" s="29">
        <f>'4대보험'!L145</f>
        <v>33690</v>
      </c>
      <c r="AA145" s="29">
        <f>세금!P145</f>
        <v>146500</v>
      </c>
      <c r="AB145" s="29">
        <f>세금!Q145</f>
        <v>14650</v>
      </c>
      <c r="AC145" s="14">
        <v>0</v>
      </c>
      <c r="AD145" s="28">
        <f t="shared" si="11"/>
        <v>513220</v>
      </c>
      <c r="AE145" s="28">
        <f t="shared" si="12"/>
        <v>3530798</v>
      </c>
    </row>
    <row r="146" spans="1:31" x14ac:dyDescent="0.4">
      <c r="A146" s="23">
        <v>46296</v>
      </c>
      <c r="B146" s="17">
        <v>12</v>
      </c>
      <c r="C146" s="24" t="str">
        <f>직원정보!B16</f>
        <v>S0012</v>
      </c>
      <c r="D146" s="25" t="str">
        <f>직원정보!C16</f>
        <v>타래솔</v>
      </c>
      <c r="E146" s="24" t="str">
        <f>직원정보!D16</f>
        <v>C&amp;R팀</v>
      </c>
      <c r="F146" s="24" t="str">
        <f>직원정보!E16</f>
        <v>반장</v>
      </c>
      <c r="G146" s="14">
        <v>3000000</v>
      </c>
      <c r="H146" s="26">
        <f>ROUND(G146/요율기준!$B$14,0)</f>
        <v>14354</v>
      </c>
      <c r="I146" s="27">
        <v>16</v>
      </c>
      <c r="J146" s="27">
        <v>4</v>
      </c>
      <c r="K146" s="14">
        <v>250000</v>
      </c>
      <c r="L146" s="26">
        <f>ROUND(H146*요율기준!$B$15*I146,0)</f>
        <v>344496</v>
      </c>
      <c r="M146" s="26">
        <f>ROUND(H146*요율기준!$B$16*J146,0)</f>
        <v>28708</v>
      </c>
      <c r="N146" s="14">
        <v>50000</v>
      </c>
      <c r="O146" s="14">
        <v>100000</v>
      </c>
      <c r="P146" s="14">
        <v>100000</v>
      </c>
      <c r="Q146" s="14">
        <v>100000</v>
      </c>
      <c r="R146" s="14">
        <v>200000</v>
      </c>
      <c r="S146" s="14">
        <v>0</v>
      </c>
      <c r="T146" s="28">
        <f t="shared" si="9"/>
        <v>4173204</v>
      </c>
      <c r="U146" s="26">
        <f>Q146+MIN(R146,요율기준!$B$17)+MIN(S146,요율기준!$B$18)</f>
        <v>300000</v>
      </c>
      <c r="V146" s="28">
        <f t="shared" si="10"/>
        <v>3873204</v>
      </c>
      <c r="W146" s="29">
        <f>'4대보험'!F146</f>
        <v>174290</v>
      </c>
      <c r="X146" s="29">
        <f>'4대보험'!H146</f>
        <v>137300</v>
      </c>
      <c r="Y146" s="29">
        <f>'4대보험'!J146</f>
        <v>17780</v>
      </c>
      <c r="Z146" s="29">
        <f>'4대보험'!L146</f>
        <v>34850</v>
      </c>
      <c r="AA146" s="29">
        <f>세금!P146</f>
        <v>163170</v>
      </c>
      <c r="AB146" s="29">
        <f>세금!Q146</f>
        <v>16310</v>
      </c>
      <c r="AC146" s="14">
        <v>0</v>
      </c>
      <c r="AD146" s="28">
        <f t="shared" si="11"/>
        <v>543700</v>
      </c>
      <c r="AE146" s="28">
        <f t="shared" si="12"/>
        <v>3629504</v>
      </c>
    </row>
    <row r="147" spans="1:31" x14ac:dyDescent="0.4">
      <c r="A147" s="23">
        <v>46327</v>
      </c>
      <c r="B147" s="17">
        <v>12</v>
      </c>
      <c r="C147" s="24" t="str">
        <f>직원정보!B16</f>
        <v>S0012</v>
      </c>
      <c r="D147" s="25" t="str">
        <f>직원정보!C16</f>
        <v>타래솔</v>
      </c>
      <c r="E147" s="24" t="str">
        <f>직원정보!D16</f>
        <v>C&amp;R팀</v>
      </c>
      <c r="F147" s="24" t="str">
        <f>직원정보!E16</f>
        <v>반장</v>
      </c>
      <c r="G147" s="14">
        <v>3000000</v>
      </c>
      <c r="H147" s="26">
        <f>ROUND(G147/요율기준!$B$14,0)</f>
        <v>14354</v>
      </c>
      <c r="I147" s="27">
        <v>21</v>
      </c>
      <c r="J147" s="27">
        <v>7</v>
      </c>
      <c r="K147" s="14">
        <v>250000</v>
      </c>
      <c r="L147" s="26">
        <f>ROUND(H147*요율기준!$B$15*I147,0)</f>
        <v>452151</v>
      </c>
      <c r="M147" s="26">
        <f>ROUND(H147*요율기준!$B$16*J147,0)</f>
        <v>50239</v>
      </c>
      <c r="N147" s="14">
        <v>50000</v>
      </c>
      <c r="O147" s="14">
        <v>100000</v>
      </c>
      <c r="P147" s="14">
        <v>100000</v>
      </c>
      <c r="Q147" s="14">
        <v>100000</v>
      </c>
      <c r="R147" s="14">
        <v>200000</v>
      </c>
      <c r="S147" s="14">
        <v>0</v>
      </c>
      <c r="T147" s="28">
        <f t="shared" si="9"/>
        <v>4302390</v>
      </c>
      <c r="U147" s="26">
        <f>Q147+MIN(R147,요율기준!$B$17)+MIN(S147,요율기준!$B$18)</f>
        <v>300000</v>
      </c>
      <c r="V147" s="28">
        <f t="shared" si="10"/>
        <v>4002390</v>
      </c>
      <c r="W147" s="29">
        <f>'4대보험'!F147</f>
        <v>180100</v>
      </c>
      <c r="X147" s="29">
        <f>'4대보험'!H147</f>
        <v>141880</v>
      </c>
      <c r="Y147" s="29">
        <f>'4대보험'!J147</f>
        <v>18370</v>
      </c>
      <c r="Z147" s="29">
        <f>'4대보험'!L147</f>
        <v>36020</v>
      </c>
      <c r="AA147" s="29">
        <f>세금!P147</f>
        <v>179930</v>
      </c>
      <c r="AB147" s="29">
        <f>세금!Q147</f>
        <v>17990</v>
      </c>
      <c r="AC147" s="14">
        <v>0</v>
      </c>
      <c r="AD147" s="28">
        <f t="shared" si="11"/>
        <v>574290</v>
      </c>
      <c r="AE147" s="28">
        <f t="shared" si="12"/>
        <v>3728100</v>
      </c>
    </row>
    <row r="148" spans="1:31" x14ac:dyDescent="0.4">
      <c r="A148" s="23">
        <v>46357</v>
      </c>
      <c r="B148" s="17">
        <v>12</v>
      </c>
      <c r="C148" s="24" t="str">
        <f>직원정보!B16</f>
        <v>S0012</v>
      </c>
      <c r="D148" s="25" t="str">
        <f>직원정보!C16</f>
        <v>타래솔</v>
      </c>
      <c r="E148" s="24" t="str">
        <f>직원정보!D16</f>
        <v>C&amp;R팀</v>
      </c>
      <c r="F148" s="24" t="str">
        <f>직원정보!E16</f>
        <v>반장</v>
      </c>
      <c r="G148" s="14">
        <v>3000000</v>
      </c>
      <c r="H148" s="26">
        <f>ROUND(G148/요율기준!$B$14,0)</f>
        <v>14354</v>
      </c>
      <c r="I148" s="27">
        <v>26</v>
      </c>
      <c r="J148" s="27">
        <v>10</v>
      </c>
      <c r="K148" s="14">
        <v>250000</v>
      </c>
      <c r="L148" s="26">
        <f>ROUND(H148*요율기준!$B$15*I148,0)</f>
        <v>559806</v>
      </c>
      <c r="M148" s="26">
        <f>ROUND(H148*요율기준!$B$16*J148,0)</f>
        <v>71770</v>
      </c>
      <c r="N148" s="14">
        <v>50000</v>
      </c>
      <c r="O148" s="14">
        <v>100000</v>
      </c>
      <c r="P148" s="14">
        <v>100000</v>
      </c>
      <c r="Q148" s="14">
        <v>100000</v>
      </c>
      <c r="R148" s="14">
        <v>200000</v>
      </c>
      <c r="S148" s="14">
        <v>0</v>
      </c>
      <c r="T148" s="28">
        <f t="shared" si="9"/>
        <v>4431576</v>
      </c>
      <c r="U148" s="26">
        <f>Q148+MIN(R148,요율기준!$B$17)+MIN(S148,요율기준!$B$18)</f>
        <v>300000</v>
      </c>
      <c r="V148" s="28">
        <f t="shared" si="10"/>
        <v>4131576</v>
      </c>
      <c r="W148" s="29">
        <f>'4대보험'!F148</f>
        <v>185920</v>
      </c>
      <c r="X148" s="29">
        <f>'4대보험'!H148</f>
        <v>146460</v>
      </c>
      <c r="Y148" s="29">
        <f>'4대보험'!J148</f>
        <v>18960</v>
      </c>
      <c r="Z148" s="29">
        <f>'4대보험'!L148</f>
        <v>37180</v>
      </c>
      <c r="AA148" s="29">
        <f>세금!P148</f>
        <v>196690</v>
      </c>
      <c r="AB148" s="29">
        <f>세금!Q148</f>
        <v>19660</v>
      </c>
      <c r="AC148" s="14">
        <v>0</v>
      </c>
      <c r="AD148" s="28">
        <f t="shared" si="11"/>
        <v>604870</v>
      </c>
      <c r="AE148" s="28">
        <f t="shared" si="12"/>
        <v>3826706</v>
      </c>
    </row>
    <row r="149" spans="1:31" x14ac:dyDescent="0.4">
      <c r="A149" s="23">
        <v>46023</v>
      </c>
      <c r="B149" s="17">
        <v>13</v>
      </c>
      <c r="C149" s="24" t="str">
        <f>직원정보!B17</f>
        <v>S0013</v>
      </c>
      <c r="D149" s="25" t="str">
        <f>직원정보!C17</f>
        <v>파도한</v>
      </c>
      <c r="E149" s="24" t="str">
        <f>직원정보!D17</f>
        <v>C&amp;S 2팀</v>
      </c>
      <c r="F149" s="24" t="str">
        <f>직원정보!E17</f>
        <v>사원</v>
      </c>
      <c r="G149" s="14">
        <v>2700000</v>
      </c>
      <c r="H149" s="26">
        <f>ROUND(G149/요율기준!$B$14,0)</f>
        <v>12919</v>
      </c>
      <c r="I149" s="27">
        <v>24</v>
      </c>
      <c r="J149" s="27">
        <v>3</v>
      </c>
      <c r="K149" s="14">
        <v>220000</v>
      </c>
      <c r="L149" s="26">
        <f>ROUND(H149*요율기준!$B$15*I149,0)</f>
        <v>465084</v>
      </c>
      <c r="M149" s="26">
        <f>ROUND(H149*요율기준!$B$16*J149,0)</f>
        <v>19379</v>
      </c>
      <c r="N149" s="14">
        <v>0</v>
      </c>
      <c r="O149" s="14">
        <v>100000</v>
      </c>
      <c r="P149" s="14">
        <v>0</v>
      </c>
      <c r="Q149" s="14">
        <v>100000</v>
      </c>
      <c r="R149" s="14">
        <v>200000</v>
      </c>
      <c r="S149" s="14">
        <v>0</v>
      </c>
      <c r="T149" s="28">
        <f t="shared" si="9"/>
        <v>3804463</v>
      </c>
      <c r="U149" s="26">
        <f>Q149+MIN(R149,요율기준!$B$17)+MIN(S149,요율기준!$B$18)</f>
        <v>300000</v>
      </c>
      <c r="V149" s="28">
        <f t="shared" si="10"/>
        <v>3504463</v>
      </c>
      <c r="W149" s="29">
        <f>'4대보험'!F149</f>
        <v>157700</v>
      </c>
      <c r="X149" s="29">
        <f>'4대보험'!H149</f>
        <v>124230</v>
      </c>
      <c r="Y149" s="29">
        <f>'4대보험'!J149</f>
        <v>16080</v>
      </c>
      <c r="Z149" s="29">
        <f>'4대보험'!L149</f>
        <v>31540</v>
      </c>
      <c r="AA149" s="29">
        <f>세금!P149</f>
        <v>118380</v>
      </c>
      <c r="AB149" s="29">
        <f>세금!Q149</f>
        <v>11830</v>
      </c>
      <c r="AC149" s="14">
        <v>0</v>
      </c>
      <c r="AD149" s="28">
        <f t="shared" si="11"/>
        <v>459760</v>
      </c>
      <c r="AE149" s="28">
        <f t="shared" si="12"/>
        <v>3344703</v>
      </c>
    </row>
    <row r="150" spans="1:31" x14ac:dyDescent="0.4">
      <c r="A150" s="23">
        <v>46054</v>
      </c>
      <c r="B150" s="17">
        <v>13</v>
      </c>
      <c r="C150" s="24" t="str">
        <f>직원정보!B17</f>
        <v>S0013</v>
      </c>
      <c r="D150" s="25" t="str">
        <f>직원정보!C17</f>
        <v>파도한</v>
      </c>
      <c r="E150" s="24" t="str">
        <f>직원정보!D17</f>
        <v>C&amp;S 2팀</v>
      </c>
      <c r="F150" s="24" t="str">
        <f>직원정보!E17</f>
        <v>사원</v>
      </c>
      <c r="G150" s="14">
        <v>2700000</v>
      </c>
      <c r="H150" s="26">
        <f>ROUND(G150/요율기준!$B$14,0)</f>
        <v>12919</v>
      </c>
      <c r="I150" s="27">
        <v>29</v>
      </c>
      <c r="J150" s="27">
        <v>6</v>
      </c>
      <c r="K150" s="14">
        <v>220000</v>
      </c>
      <c r="L150" s="26">
        <f>ROUND(H150*요율기준!$B$15*I150,0)</f>
        <v>561977</v>
      </c>
      <c r="M150" s="26">
        <f>ROUND(H150*요율기준!$B$16*J150,0)</f>
        <v>38757</v>
      </c>
      <c r="N150" s="14">
        <v>0</v>
      </c>
      <c r="O150" s="14">
        <v>100000</v>
      </c>
      <c r="P150" s="14">
        <v>0</v>
      </c>
      <c r="Q150" s="14">
        <v>100000</v>
      </c>
      <c r="R150" s="14">
        <v>200000</v>
      </c>
      <c r="S150" s="14">
        <v>0</v>
      </c>
      <c r="T150" s="28">
        <f t="shared" si="9"/>
        <v>3920734</v>
      </c>
      <c r="U150" s="26">
        <f>Q150+MIN(R150,요율기준!$B$17)+MIN(S150,요율기준!$B$18)</f>
        <v>300000</v>
      </c>
      <c r="V150" s="28">
        <f t="shared" si="10"/>
        <v>3620734</v>
      </c>
      <c r="W150" s="29">
        <f>'4대보험'!F150</f>
        <v>162930</v>
      </c>
      <c r="X150" s="29">
        <f>'4대보험'!H150</f>
        <v>128350</v>
      </c>
      <c r="Y150" s="29">
        <f>'4대보험'!J150</f>
        <v>16620</v>
      </c>
      <c r="Z150" s="29">
        <f>'4대보험'!L150</f>
        <v>32580</v>
      </c>
      <c r="AA150" s="29">
        <f>세금!P150</f>
        <v>132350</v>
      </c>
      <c r="AB150" s="29">
        <f>세금!Q150</f>
        <v>13230</v>
      </c>
      <c r="AC150" s="14">
        <v>0</v>
      </c>
      <c r="AD150" s="28">
        <f t="shared" si="11"/>
        <v>486060</v>
      </c>
      <c r="AE150" s="28">
        <f t="shared" si="12"/>
        <v>3434674</v>
      </c>
    </row>
    <row r="151" spans="1:31" x14ac:dyDescent="0.4">
      <c r="A151" s="23">
        <v>46082</v>
      </c>
      <c r="B151" s="17">
        <v>13</v>
      </c>
      <c r="C151" s="24" t="str">
        <f>직원정보!B17</f>
        <v>S0013</v>
      </c>
      <c r="D151" s="25" t="str">
        <f>직원정보!C17</f>
        <v>파도한</v>
      </c>
      <c r="E151" s="24" t="str">
        <f>직원정보!D17</f>
        <v>C&amp;S 2팀</v>
      </c>
      <c r="F151" s="24" t="str">
        <f>직원정보!E17</f>
        <v>사원</v>
      </c>
      <c r="G151" s="14">
        <v>2700000</v>
      </c>
      <c r="H151" s="26">
        <f>ROUND(G151/요율기준!$B$14,0)</f>
        <v>12919</v>
      </c>
      <c r="I151" s="27">
        <v>9</v>
      </c>
      <c r="J151" s="27">
        <v>9</v>
      </c>
      <c r="K151" s="14">
        <v>220000</v>
      </c>
      <c r="L151" s="26">
        <f>ROUND(H151*요율기준!$B$15*I151,0)</f>
        <v>174407</v>
      </c>
      <c r="M151" s="26">
        <f>ROUND(H151*요율기준!$B$16*J151,0)</f>
        <v>58136</v>
      </c>
      <c r="N151" s="14">
        <v>0</v>
      </c>
      <c r="O151" s="14">
        <v>100000</v>
      </c>
      <c r="P151" s="14">
        <v>0</v>
      </c>
      <c r="Q151" s="14">
        <v>100000</v>
      </c>
      <c r="R151" s="14">
        <v>200000</v>
      </c>
      <c r="S151" s="14">
        <v>0</v>
      </c>
      <c r="T151" s="28">
        <f t="shared" si="9"/>
        <v>3552543</v>
      </c>
      <c r="U151" s="26">
        <f>Q151+MIN(R151,요율기준!$B$17)+MIN(S151,요율기준!$B$18)</f>
        <v>300000</v>
      </c>
      <c r="V151" s="28">
        <f t="shared" si="10"/>
        <v>3252543</v>
      </c>
      <c r="W151" s="29">
        <f>'4대보험'!F151</f>
        <v>146360</v>
      </c>
      <c r="X151" s="29">
        <f>'4대보험'!H151</f>
        <v>115300</v>
      </c>
      <c r="Y151" s="29">
        <f>'4대보험'!J151</f>
        <v>14930</v>
      </c>
      <c r="Z151" s="29">
        <f>'4대보험'!L151</f>
        <v>29270</v>
      </c>
      <c r="AA151" s="29">
        <f>세금!P151</f>
        <v>87450</v>
      </c>
      <c r="AB151" s="29">
        <f>세금!Q151</f>
        <v>8740</v>
      </c>
      <c r="AC151" s="14">
        <v>0</v>
      </c>
      <c r="AD151" s="28">
        <f t="shared" si="11"/>
        <v>402050</v>
      </c>
      <c r="AE151" s="28">
        <f t="shared" si="12"/>
        <v>3150493</v>
      </c>
    </row>
    <row r="152" spans="1:31" x14ac:dyDescent="0.4">
      <c r="A152" s="23">
        <v>46113</v>
      </c>
      <c r="B152" s="17">
        <v>13</v>
      </c>
      <c r="C152" s="24" t="str">
        <f>직원정보!B17</f>
        <v>S0013</v>
      </c>
      <c r="D152" s="25" t="str">
        <f>직원정보!C17</f>
        <v>파도한</v>
      </c>
      <c r="E152" s="24" t="str">
        <f>직원정보!D17</f>
        <v>C&amp;S 2팀</v>
      </c>
      <c r="F152" s="24" t="str">
        <f>직원정보!E17</f>
        <v>사원</v>
      </c>
      <c r="G152" s="14">
        <v>2700000</v>
      </c>
      <c r="H152" s="26">
        <f>ROUND(G152/요율기준!$B$14,0)</f>
        <v>12919</v>
      </c>
      <c r="I152" s="27">
        <v>14</v>
      </c>
      <c r="J152" s="27">
        <v>0</v>
      </c>
      <c r="K152" s="14">
        <v>220000</v>
      </c>
      <c r="L152" s="26">
        <f>ROUND(H152*요율기준!$B$15*I152,0)</f>
        <v>271299</v>
      </c>
      <c r="M152" s="26">
        <f>ROUND(H152*요율기준!$B$16*J152,0)</f>
        <v>0</v>
      </c>
      <c r="N152" s="14">
        <v>0</v>
      </c>
      <c r="O152" s="14">
        <v>100000</v>
      </c>
      <c r="P152" s="14">
        <v>0</v>
      </c>
      <c r="Q152" s="14">
        <v>100000</v>
      </c>
      <c r="R152" s="14">
        <v>200000</v>
      </c>
      <c r="S152" s="14">
        <v>0</v>
      </c>
      <c r="T152" s="28">
        <f t="shared" si="9"/>
        <v>3591299</v>
      </c>
      <c r="U152" s="26">
        <f>Q152+MIN(R152,요율기준!$B$17)+MIN(S152,요율기준!$B$18)</f>
        <v>300000</v>
      </c>
      <c r="V152" s="28">
        <f t="shared" si="10"/>
        <v>3291299</v>
      </c>
      <c r="W152" s="29">
        <f>'4대보험'!F152</f>
        <v>148100</v>
      </c>
      <c r="X152" s="29">
        <f>'4대보험'!H152</f>
        <v>116670</v>
      </c>
      <c r="Y152" s="29">
        <f>'4대보험'!J152</f>
        <v>15100</v>
      </c>
      <c r="Z152" s="29">
        <f>'4대보험'!L152</f>
        <v>29620</v>
      </c>
      <c r="AA152" s="29">
        <f>세금!P152</f>
        <v>92210</v>
      </c>
      <c r="AB152" s="29">
        <f>세금!Q152</f>
        <v>9220</v>
      </c>
      <c r="AC152" s="14">
        <v>0</v>
      </c>
      <c r="AD152" s="28">
        <f t="shared" si="11"/>
        <v>410920</v>
      </c>
      <c r="AE152" s="28">
        <f t="shared" si="12"/>
        <v>3180379</v>
      </c>
    </row>
    <row r="153" spans="1:31" x14ac:dyDescent="0.4">
      <c r="A153" s="23">
        <v>46143</v>
      </c>
      <c r="B153" s="17">
        <v>13</v>
      </c>
      <c r="C153" s="24" t="str">
        <f>직원정보!B17</f>
        <v>S0013</v>
      </c>
      <c r="D153" s="25" t="str">
        <f>직원정보!C17</f>
        <v>파도한</v>
      </c>
      <c r="E153" s="24" t="str">
        <f>직원정보!D17</f>
        <v>C&amp;S 2팀</v>
      </c>
      <c r="F153" s="24" t="str">
        <f>직원정보!E17</f>
        <v>사원</v>
      </c>
      <c r="G153" s="14">
        <v>2700000</v>
      </c>
      <c r="H153" s="26">
        <f>ROUND(G153/요율기준!$B$14,0)</f>
        <v>12919</v>
      </c>
      <c r="I153" s="27">
        <v>19</v>
      </c>
      <c r="J153" s="27">
        <v>3</v>
      </c>
      <c r="K153" s="14">
        <v>220000</v>
      </c>
      <c r="L153" s="26">
        <f>ROUND(H153*요율기준!$B$15*I153,0)</f>
        <v>368192</v>
      </c>
      <c r="M153" s="26">
        <f>ROUND(H153*요율기준!$B$16*J153,0)</f>
        <v>19379</v>
      </c>
      <c r="N153" s="14">
        <v>0</v>
      </c>
      <c r="O153" s="14">
        <v>100000</v>
      </c>
      <c r="P153" s="14">
        <v>0</v>
      </c>
      <c r="Q153" s="14">
        <v>100000</v>
      </c>
      <c r="R153" s="14">
        <v>200000</v>
      </c>
      <c r="S153" s="14">
        <v>0</v>
      </c>
      <c r="T153" s="28">
        <f t="shared" si="9"/>
        <v>3707571</v>
      </c>
      <c r="U153" s="26">
        <f>Q153+MIN(R153,요율기준!$B$17)+MIN(S153,요율기준!$B$18)</f>
        <v>300000</v>
      </c>
      <c r="V153" s="28">
        <f t="shared" si="10"/>
        <v>3407571</v>
      </c>
      <c r="W153" s="29">
        <f>'4대보험'!F153</f>
        <v>153340</v>
      </c>
      <c r="X153" s="29">
        <f>'4대보험'!H153</f>
        <v>120790</v>
      </c>
      <c r="Y153" s="29">
        <f>'4대보험'!J153</f>
        <v>15640</v>
      </c>
      <c r="Z153" s="29">
        <f>'4대보험'!L153</f>
        <v>30660</v>
      </c>
      <c r="AA153" s="29">
        <f>세금!P153</f>
        <v>106480</v>
      </c>
      <c r="AB153" s="29">
        <f>세금!Q153</f>
        <v>10640</v>
      </c>
      <c r="AC153" s="14">
        <v>0</v>
      </c>
      <c r="AD153" s="28">
        <f t="shared" si="11"/>
        <v>437550</v>
      </c>
      <c r="AE153" s="28">
        <f t="shared" si="12"/>
        <v>3270021</v>
      </c>
    </row>
    <row r="154" spans="1:31" x14ac:dyDescent="0.4">
      <c r="A154" s="23">
        <v>46174</v>
      </c>
      <c r="B154" s="17">
        <v>13</v>
      </c>
      <c r="C154" s="24" t="str">
        <f>직원정보!B17</f>
        <v>S0013</v>
      </c>
      <c r="D154" s="25" t="str">
        <f>직원정보!C17</f>
        <v>파도한</v>
      </c>
      <c r="E154" s="24" t="str">
        <f>직원정보!D17</f>
        <v>C&amp;S 2팀</v>
      </c>
      <c r="F154" s="24" t="str">
        <f>직원정보!E17</f>
        <v>사원</v>
      </c>
      <c r="G154" s="14">
        <v>2700000</v>
      </c>
      <c r="H154" s="26">
        <f>ROUND(G154/요율기준!$B$14,0)</f>
        <v>12919</v>
      </c>
      <c r="I154" s="27">
        <v>24</v>
      </c>
      <c r="J154" s="27">
        <v>6</v>
      </c>
      <c r="K154" s="14">
        <v>220000</v>
      </c>
      <c r="L154" s="26">
        <f>ROUND(H154*요율기준!$B$15*I154,0)</f>
        <v>465084</v>
      </c>
      <c r="M154" s="26">
        <f>ROUND(H154*요율기준!$B$16*J154,0)</f>
        <v>38757</v>
      </c>
      <c r="N154" s="14">
        <v>0</v>
      </c>
      <c r="O154" s="14">
        <v>100000</v>
      </c>
      <c r="P154" s="14">
        <v>0</v>
      </c>
      <c r="Q154" s="14">
        <v>100000</v>
      </c>
      <c r="R154" s="14">
        <v>200000</v>
      </c>
      <c r="S154" s="14">
        <v>0</v>
      </c>
      <c r="T154" s="28">
        <f t="shared" si="9"/>
        <v>3823841</v>
      </c>
      <c r="U154" s="26">
        <f>Q154+MIN(R154,요율기준!$B$17)+MIN(S154,요율기준!$B$18)</f>
        <v>300000</v>
      </c>
      <c r="V154" s="28">
        <f t="shared" si="10"/>
        <v>3523841</v>
      </c>
      <c r="W154" s="29">
        <f>'4대보험'!F154</f>
        <v>158570</v>
      </c>
      <c r="X154" s="29">
        <f>'4대보험'!H154</f>
        <v>124920</v>
      </c>
      <c r="Y154" s="29">
        <f>'4대보험'!J154</f>
        <v>16170</v>
      </c>
      <c r="Z154" s="29">
        <f>'4대보험'!L154</f>
        <v>31710</v>
      </c>
      <c r="AA154" s="29">
        <f>세금!P154</f>
        <v>120760</v>
      </c>
      <c r="AB154" s="29">
        <f>세금!Q154</f>
        <v>12070</v>
      </c>
      <c r="AC154" s="14">
        <v>0</v>
      </c>
      <c r="AD154" s="28">
        <f t="shared" si="11"/>
        <v>464200</v>
      </c>
      <c r="AE154" s="28">
        <f t="shared" si="12"/>
        <v>3359641</v>
      </c>
    </row>
    <row r="155" spans="1:31" x14ac:dyDescent="0.4">
      <c r="A155" s="23">
        <v>46204</v>
      </c>
      <c r="B155" s="17">
        <v>13</v>
      </c>
      <c r="C155" s="24" t="str">
        <f>직원정보!B17</f>
        <v>S0013</v>
      </c>
      <c r="D155" s="25" t="str">
        <f>직원정보!C17</f>
        <v>파도한</v>
      </c>
      <c r="E155" s="24" t="str">
        <f>직원정보!D17</f>
        <v>C&amp;S 2팀</v>
      </c>
      <c r="F155" s="24" t="str">
        <f>직원정보!E17</f>
        <v>사원</v>
      </c>
      <c r="G155" s="14">
        <v>2700000</v>
      </c>
      <c r="H155" s="26">
        <f>ROUND(G155/요율기준!$B$14,0)</f>
        <v>12919</v>
      </c>
      <c r="I155" s="27">
        <v>29</v>
      </c>
      <c r="J155" s="27">
        <v>9</v>
      </c>
      <c r="K155" s="14">
        <v>220000</v>
      </c>
      <c r="L155" s="26">
        <f>ROUND(H155*요율기준!$B$15*I155,0)</f>
        <v>561977</v>
      </c>
      <c r="M155" s="26">
        <f>ROUND(H155*요율기준!$B$16*J155,0)</f>
        <v>58136</v>
      </c>
      <c r="N155" s="14">
        <v>0</v>
      </c>
      <c r="O155" s="14">
        <v>100000</v>
      </c>
      <c r="P155" s="14">
        <v>0</v>
      </c>
      <c r="Q155" s="14">
        <v>100000</v>
      </c>
      <c r="R155" s="14">
        <v>200000</v>
      </c>
      <c r="S155" s="14">
        <v>0</v>
      </c>
      <c r="T155" s="28">
        <f t="shared" si="9"/>
        <v>3940113</v>
      </c>
      <c r="U155" s="26">
        <f>Q155+MIN(R155,요율기준!$B$17)+MIN(S155,요율기준!$B$18)</f>
        <v>300000</v>
      </c>
      <c r="V155" s="28">
        <f t="shared" si="10"/>
        <v>3640113</v>
      </c>
      <c r="W155" s="29">
        <f>'4대보험'!F155</f>
        <v>163800</v>
      </c>
      <c r="X155" s="29">
        <f>'4대보험'!H155</f>
        <v>129040</v>
      </c>
      <c r="Y155" s="29">
        <f>'4대보험'!J155</f>
        <v>16710</v>
      </c>
      <c r="Z155" s="29">
        <f>'4대보험'!L155</f>
        <v>32760</v>
      </c>
      <c r="AA155" s="29">
        <f>세금!P155</f>
        <v>134570</v>
      </c>
      <c r="AB155" s="29">
        <f>세금!Q155</f>
        <v>13450</v>
      </c>
      <c r="AC155" s="14">
        <v>0</v>
      </c>
      <c r="AD155" s="28">
        <f t="shared" si="11"/>
        <v>490330</v>
      </c>
      <c r="AE155" s="28">
        <f t="shared" si="12"/>
        <v>3449783</v>
      </c>
    </row>
    <row r="156" spans="1:31" x14ac:dyDescent="0.4">
      <c r="A156" s="23">
        <v>46235</v>
      </c>
      <c r="B156" s="17">
        <v>13</v>
      </c>
      <c r="C156" s="24" t="str">
        <f>직원정보!B17</f>
        <v>S0013</v>
      </c>
      <c r="D156" s="25" t="str">
        <f>직원정보!C17</f>
        <v>파도한</v>
      </c>
      <c r="E156" s="24" t="str">
        <f>직원정보!D17</f>
        <v>C&amp;S 2팀</v>
      </c>
      <c r="F156" s="24" t="str">
        <f>직원정보!E17</f>
        <v>사원</v>
      </c>
      <c r="G156" s="14">
        <v>2700000</v>
      </c>
      <c r="H156" s="26">
        <f>ROUND(G156/요율기준!$B$14,0)</f>
        <v>12919</v>
      </c>
      <c r="I156" s="27">
        <v>9</v>
      </c>
      <c r="J156" s="27">
        <v>0</v>
      </c>
      <c r="K156" s="14">
        <v>220000</v>
      </c>
      <c r="L156" s="26">
        <f>ROUND(H156*요율기준!$B$15*I156,0)</f>
        <v>174407</v>
      </c>
      <c r="M156" s="26">
        <f>ROUND(H156*요율기준!$B$16*J156,0)</f>
        <v>0</v>
      </c>
      <c r="N156" s="14">
        <v>0</v>
      </c>
      <c r="O156" s="14">
        <v>100000</v>
      </c>
      <c r="P156" s="14">
        <v>0</v>
      </c>
      <c r="Q156" s="14">
        <v>100000</v>
      </c>
      <c r="R156" s="14">
        <v>200000</v>
      </c>
      <c r="S156" s="14">
        <v>0</v>
      </c>
      <c r="T156" s="28">
        <f t="shared" si="9"/>
        <v>3494407</v>
      </c>
      <c r="U156" s="26">
        <f>Q156+MIN(R156,요율기준!$B$17)+MIN(S156,요율기준!$B$18)</f>
        <v>300000</v>
      </c>
      <c r="V156" s="28">
        <f t="shared" si="10"/>
        <v>3194407</v>
      </c>
      <c r="W156" s="29">
        <f>'4대보험'!F156</f>
        <v>143740</v>
      </c>
      <c r="X156" s="29">
        <f>'4대보험'!H156</f>
        <v>113240</v>
      </c>
      <c r="Y156" s="29">
        <f>'4대보험'!J156</f>
        <v>14660</v>
      </c>
      <c r="Z156" s="29">
        <f>'4대보험'!L156</f>
        <v>28740</v>
      </c>
      <c r="AA156" s="29">
        <f>세금!P156</f>
        <v>80320</v>
      </c>
      <c r="AB156" s="29">
        <f>세금!Q156</f>
        <v>8030</v>
      </c>
      <c r="AC156" s="14">
        <v>0</v>
      </c>
      <c r="AD156" s="28">
        <f t="shared" si="11"/>
        <v>388730</v>
      </c>
      <c r="AE156" s="28">
        <f t="shared" si="12"/>
        <v>3105677</v>
      </c>
    </row>
    <row r="157" spans="1:31" x14ac:dyDescent="0.4">
      <c r="A157" s="23">
        <v>46266</v>
      </c>
      <c r="B157" s="17">
        <v>13</v>
      </c>
      <c r="C157" s="24" t="str">
        <f>직원정보!B17</f>
        <v>S0013</v>
      </c>
      <c r="D157" s="25" t="str">
        <f>직원정보!C17</f>
        <v>파도한</v>
      </c>
      <c r="E157" s="24" t="str">
        <f>직원정보!D17</f>
        <v>C&amp;S 2팀</v>
      </c>
      <c r="F157" s="24" t="str">
        <f>직원정보!E17</f>
        <v>사원</v>
      </c>
      <c r="G157" s="14">
        <v>2700000</v>
      </c>
      <c r="H157" s="26">
        <f>ROUND(G157/요율기준!$B$14,0)</f>
        <v>12919</v>
      </c>
      <c r="I157" s="27">
        <v>14</v>
      </c>
      <c r="J157" s="27">
        <v>3</v>
      </c>
      <c r="K157" s="14">
        <v>220000</v>
      </c>
      <c r="L157" s="26">
        <f>ROUND(H157*요율기준!$B$15*I157,0)</f>
        <v>271299</v>
      </c>
      <c r="M157" s="26">
        <f>ROUND(H157*요율기준!$B$16*J157,0)</f>
        <v>19379</v>
      </c>
      <c r="N157" s="14">
        <v>0</v>
      </c>
      <c r="O157" s="14">
        <v>100000</v>
      </c>
      <c r="P157" s="14">
        <v>0</v>
      </c>
      <c r="Q157" s="14">
        <v>100000</v>
      </c>
      <c r="R157" s="14">
        <v>200000</v>
      </c>
      <c r="S157" s="14">
        <v>0</v>
      </c>
      <c r="T157" s="28">
        <f t="shared" si="9"/>
        <v>3610678</v>
      </c>
      <c r="U157" s="26">
        <f>Q157+MIN(R157,요율기준!$B$17)+MIN(S157,요율기준!$B$18)</f>
        <v>300000</v>
      </c>
      <c r="V157" s="28">
        <f t="shared" si="10"/>
        <v>3310678</v>
      </c>
      <c r="W157" s="29">
        <f>'4대보험'!F157</f>
        <v>148980</v>
      </c>
      <c r="X157" s="29">
        <f>'4대보험'!H157</f>
        <v>117360</v>
      </c>
      <c r="Y157" s="29">
        <f>'4대보험'!J157</f>
        <v>15190</v>
      </c>
      <c r="Z157" s="29">
        <f>'4대보험'!L157</f>
        <v>29790</v>
      </c>
      <c r="AA157" s="29">
        <f>세금!P157</f>
        <v>94590</v>
      </c>
      <c r="AB157" s="29">
        <f>세금!Q157</f>
        <v>9450</v>
      </c>
      <c r="AC157" s="14">
        <v>0</v>
      </c>
      <c r="AD157" s="28">
        <f t="shared" si="11"/>
        <v>415360</v>
      </c>
      <c r="AE157" s="28">
        <f t="shared" si="12"/>
        <v>3195318</v>
      </c>
    </row>
    <row r="158" spans="1:31" x14ac:dyDescent="0.4">
      <c r="A158" s="23">
        <v>46296</v>
      </c>
      <c r="B158" s="17">
        <v>13</v>
      </c>
      <c r="C158" s="24" t="str">
        <f>직원정보!B17</f>
        <v>S0013</v>
      </c>
      <c r="D158" s="25" t="str">
        <f>직원정보!C17</f>
        <v>파도한</v>
      </c>
      <c r="E158" s="24" t="str">
        <f>직원정보!D17</f>
        <v>C&amp;S 2팀</v>
      </c>
      <c r="F158" s="24" t="str">
        <f>직원정보!E17</f>
        <v>사원</v>
      </c>
      <c r="G158" s="14">
        <v>2700000</v>
      </c>
      <c r="H158" s="26">
        <f>ROUND(G158/요율기준!$B$14,0)</f>
        <v>12919</v>
      </c>
      <c r="I158" s="27">
        <v>19</v>
      </c>
      <c r="J158" s="27">
        <v>6</v>
      </c>
      <c r="K158" s="14">
        <v>220000</v>
      </c>
      <c r="L158" s="26">
        <f>ROUND(H158*요율기준!$B$15*I158,0)</f>
        <v>368192</v>
      </c>
      <c r="M158" s="26">
        <f>ROUND(H158*요율기준!$B$16*J158,0)</f>
        <v>38757</v>
      </c>
      <c r="N158" s="14">
        <v>0</v>
      </c>
      <c r="O158" s="14">
        <v>100000</v>
      </c>
      <c r="P158" s="14">
        <v>0</v>
      </c>
      <c r="Q158" s="14">
        <v>100000</v>
      </c>
      <c r="R158" s="14">
        <v>200000</v>
      </c>
      <c r="S158" s="14">
        <v>0</v>
      </c>
      <c r="T158" s="28">
        <f t="shared" si="9"/>
        <v>3726949</v>
      </c>
      <c r="U158" s="26">
        <f>Q158+MIN(R158,요율기준!$B$17)+MIN(S158,요율기준!$B$18)</f>
        <v>300000</v>
      </c>
      <c r="V158" s="28">
        <f t="shared" si="10"/>
        <v>3426949</v>
      </c>
      <c r="W158" s="29">
        <f>'4대보험'!F158</f>
        <v>154210</v>
      </c>
      <c r="X158" s="29">
        <f>'4대보험'!H158</f>
        <v>121480</v>
      </c>
      <c r="Y158" s="29">
        <f>'4대보험'!J158</f>
        <v>15730</v>
      </c>
      <c r="Z158" s="29">
        <f>'4대보험'!L158</f>
        <v>30840</v>
      </c>
      <c r="AA158" s="29">
        <f>세금!P158</f>
        <v>108860</v>
      </c>
      <c r="AB158" s="29">
        <f>세금!Q158</f>
        <v>10880</v>
      </c>
      <c r="AC158" s="14">
        <v>0</v>
      </c>
      <c r="AD158" s="28">
        <f t="shared" si="11"/>
        <v>442000</v>
      </c>
      <c r="AE158" s="28">
        <f t="shared" si="12"/>
        <v>3284949</v>
      </c>
    </row>
    <row r="159" spans="1:31" x14ac:dyDescent="0.4">
      <c r="A159" s="23">
        <v>46327</v>
      </c>
      <c r="B159" s="17">
        <v>13</v>
      </c>
      <c r="C159" s="24" t="str">
        <f>직원정보!B17</f>
        <v>S0013</v>
      </c>
      <c r="D159" s="25" t="str">
        <f>직원정보!C17</f>
        <v>파도한</v>
      </c>
      <c r="E159" s="24" t="str">
        <f>직원정보!D17</f>
        <v>C&amp;S 2팀</v>
      </c>
      <c r="F159" s="24" t="str">
        <f>직원정보!E17</f>
        <v>사원</v>
      </c>
      <c r="G159" s="14">
        <v>2700000</v>
      </c>
      <c r="H159" s="26">
        <f>ROUND(G159/요율기준!$B$14,0)</f>
        <v>12919</v>
      </c>
      <c r="I159" s="27">
        <v>24</v>
      </c>
      <c r="J159" s="27">
        <v>9</v>
      </c>
      <c r="K159" s="14">
        <v>220000</v>
      </c>
      <c r="L159" s="26">
        <f>ROUND(H159*요율기준!$B$15*I159,0)</f>
        <v>465084</v>
      </c>
      <c r="M159" s="26">
        <f>ROUND(H159*요율기준!$B$16*J159,0)</f>
        <v>58136</v>
      </c>
      <c r="N159" s="14">
        <v>0</v>
      </c>
      <c r="O159" s="14">
        <v>100000</v>
      </c>
      <c r="P159" s="14">
        <v>0</v>
      </c>
      <c r="Q159" s="14">
        <v>100000</v>
      </c>
      <c r="R159" s="14">
        <v>200000</v>
      </c>
      <c r="S159" s="14">
        <v>0</v>
      </c>
      <c r="T159" s="28">
        <f t="shared" si="9"/>
        <v>3843220</v>
      </c>
      <c r="U159" s="26">
        <f>Q159+MIN(R159,요율기준!$B$17)+MIN(S159,요율기준!$B$18)</f>
        <v>300000</v>
      </c>
      <c r="V159" s="28">
        <f t="shared" si="10"/>
        <v>3543220</v>
      </c>
      <c r="W159" s="29">
        <f>'4대보험'!F159</f>
        <v>159440</v>
      </c>
      <c r="X159" s="29">
        <f>'4대보험'!H159</f>
        <v>125600</v>
      </c>
      <c r="Y159" s="29">
        <f>'4대보험'!J159</f>
        <v>16260</v>
      </c>
      <c r="Z159" s="29">
        <f>'4대보험'!L159</f>
        <v>31880</v>
      </c>
      <c r="AA159" s="29">
        <f>세금!P159</f>
        <v>123130</v>
      </c>
      <c r="AB159" s="29">
        <f>세금!Q159</f>
        <v>12310</v>
      </c>
      <c r="AC159" s="14">
        <v>0</v>
      </c>
      <c r="AD159" s="28">
        <f t="shared" si="11"/>
        <v>468620</v>
      </c>
      <c r="AE159" s="28">
        <f t="shared" si="12"/>
        <v>3374600</v>
      </c>
    </row>
    <row r="160" spans="1:31" x14ac:dyDescent="0.4">
      <c r="A160" s="23">
        <v>46357</v>
      </c>
      <c r="B160" s="17">
        <v>13</v>
      </c>
      <c r="C160" s="24" t="str">
        <f>직원정보!B17</f>
        <v>S0013</v>
      </c>
      <c r="D160" s="25" t="str">
        <f>직원정보!C17</f>
        <v>파도한</v>
      </c>
      <c r="E160" s="24" t="str">
        <f>직원정보!D17</f>
        <v>C&amp;S 2팀</v>
      </c>
      <c r="F160" s="24" t="str">
        <f>직원정보!E17</f>
        <v>사원</v>
      </c>
      <c r="G160" s="14">
        <v>2700000</v>
      </c>
      <c r="H160" s="26">
        <f>ROUND(G160/요율기준!$B$14,0)</f>
        <v>12919</v>
      </c>
      <c r="I160" s="27">
        <v>29</v>
      </c>
      <c r="J160" s="27">
        <v>0</v>
      </c>
      <c r="K160" s="14">
        <v>220000</v>
      </c>
      <c r="L160" s="26">
        <f>ROUND(H160*요율기준!$B$15*I160,0)</f>
        <v>561977</v>
      </c>
      <c r="M160" s="26">
        <f>ROUND(H160*요율기준!$B$16*J160,0)</f>
        <v>0</v>
      </c>
      <c r="N160" s="14">
        <v>0</v>
      </c>
      <c r="O160" s="14">
        <v>100000</v>
      </c>
      <c r="P160" s="14">
        <v>0</v>
      </c>
      <c r="Q160" s="14">
        <v>100000</v>
      </c>
      <c r="R160" s="14">
        <v>200000</v>
      </c>
      <c r="S160" s="14">
        <v>0</v>
      </c>
      <c r="T160" s="28">
        <f t="shared" si="9"/>
        <v>3881977</v>
      </c>
      <c r="U160" s="26">
        <f>Q160+MIN(R160,요율기준!$B$17)+MIN(S160,요율기준!$B$18)</f>
        <v>300000</v>
      </c>
      <c r="V160" s="28">
        <f t="shared" si="10"/>
        <v>3581977</v>
      </c>
      <c r="W160" s="29">
        <f>'4대보험'!F160</f>
        <v>161180</v>
      </c>
      <c r="X160" s="29">
        <f>'4대보험'!H160</f>
        <v>126980</v>
      </c>
      <c r="Y160" s="29">
        <f>'4대보험'!J160</f>
        <v>16440</v>
      </c>
      <c r="Z160" s="29">
        <f>'4대보험'!L160</f>
        <v>32230</v>
      </c>
      <c r="AA160" s="29">
        <f>세금!P160</f>
        <v>127890</v>
      </c>
      <c r="AB160" s="29">
        <f>세금!Q160</f>
        <v>12780</v>
      </c>
      <c r="AC160" s="14">
        <v>0</v>
      </c>
      <c r="AD160" s="28">
        <f t="shared" si="11"/>
        <v>477500</v>
      </c>
      <c r="AE160" s="28">
        <f t="shared" si="12"/>
        <v>3404477</v>
      </c>
    </row>
    <row r="161" spans="1:31" x14ac:dyDescent="0.4">
      <c r="A161" s="23">
        <v>46023</v>
      </c>
      <c r="B161" s="17">
        <v>14</v>
      </c>
      <c r="C161" s="24" t="str">
        <f>직원정보!B18</f>
        <v>S0014</v>
      </c>
      <c r="D161" s="25" t="str">
        <f>직원정보!C18</f>
        <v>하나로</v>
      </c>
      <c r="E161" s="24" t="str">
        <f>직원정보!D18</f>
        <v>안전/공무</v>
      </c>
      <c r="F161" s="24" t="str">
        <f>직원정보!E18</f>
        <v>사원</v>
      </c>
      <c r="G161" s="14">
        <v>2700000</v>
      </c>
      <c r="H161" s="26">
        <f>ROUND(G161/요율기준!$B$14,0)</f>
        <v>12919</v>
      </c>
      <c r="I161" s="27">
        <v>27</v>
      </c>
      <c r="J161" s="27">
        <v>5</v>
      </c>
      <c r="K161" s="14">
        <v>220000</v>
      </c>
      <c r="L161" s="26">
        <f>ROUND(H161*요율기준!$B$15*I161,0)</f>
        <v>523220</v>
      </c>
      <c r="M161" s="26">
        <f>ROUND(H161*요율기준!$B$16*J161,0)</f>
        <v>32298</v>
      </c>
      <c r="N161" s="14">
        <v>0</v>
      </c>
      <c r="O161" s="14">
        <v>100000</v>
      </c>
      <c r="P161" s="14">
        <v>0</v>
      </c>
      <c r="Q161" s="14">
        <v>100000</v>
      </c>
      <c r="R161" s="14">
        <v>200000</v>
      </c>
      <c r="S161" s="14">
        <v>0</v>
      </c>
      <c r="T161" s="28">
        <f t="shared" si="9"/>
        <v>3875518</v>
      </c>
      <c r="U161" s="26">
        <f>Q161+MIN(R161,요율기준!$B$17)+MIN(S161,요율기준!$B$18)</f>
        <v>300000</v>
      </c>
      <c r="V161" s="28">
        <f t="shared" si="10"/>
        <v>3575518</v>
      </c>
      <c r="W161" s="29">
        <f>'4대보험'!F161</f>
        <v>160890</v>
      </c>
      <c r="X161" s="29">
        <f>'4대보험'!H161</f>
        <v>126750</v>
      </c>
      <c r="Y161" s="29">
        <f>'4대보험'!J161</f>
        <v>16410</v>
      </c>
      <c r="Z161" s="29">
        <f>'4대보험'!L161</f>
        <v>32170</v>
      </c>
      <c r="AA161" s="29">
        <f>세금!P161</f>
        <v>127100</v>
      </c>
      <c r="AB161" s="29">
        <f>세금!Q161</f>
        <v>12710</v>
      </c>
      <c r="AC161" s="14">
        <v>0</v>
      </c>
      <c r="AD161" s="28">
        <f t="shared" si="11"/>
        <v>476030</v>
      </c>
      <c r="AE161" s="28">
        <f t="shared" si="12"/>
        <v>3399488</v>
      </c>
    </row>
    <row r="162" spans="1:31" x14ac:dyDescent="0.4">
      <c r="A162" s="23">
        <v>46054</v>
      </c>
      <c r="B162" s="17">
        <v>14</v>
      </c>
      <c r="C162" s="24" t="str">
        <f>직원정보!B18</f>
        <v>S0014</v>
      </c>
      <c r="D162" s="25" t="str">
        <f>직원정보!C18</f>
        <v>하나로</v>
      </c>
      <c r="E162" s="24" t="str">
        <f>직원정보!D18</f>
        <v>안전/공무</v>
      </c>
      <c r="F162" s="24" t="str">
        <f>직원정보!E18</f>
        <v>사원</v>
      </c>
      <c r="G162" s="14">
        <v>2700000</v>
      </c>
      <c r="H162" s="26">
        <f>ROUND(G162/요율기준!$B$14,0)</f>
        <v>12919</v>
      </c>
      <c r="I162" s="27">
        <v>32</v>
      </c>
      <c r="J162" s="27">
        <v>8</v>
      </c>
      <c r="K162" s="14">
        <v>220000</v>
      </c>
      <c r="L162" s="26">
        <f>ROUND(H162*요율기준!$B$15*I162,0)</f>
        <v>620112</v>
      </c>
      <c r="M162" s="26">
        <f>ROUND(H162*요율기준!$B$16*J162,0)</f>
        <v>51676</v>
      </c>
      <c r="N162" s="14">
        <v>0</v>
      </c>
      <c r="O162" s="14">
        <v>100000</v>
      </c>
      <c r="P162" s="14">
        <v>0</v>
      </c>
      <c r="Q162" s="14">
        <v>100000</v>
      </c>
      <c r="R162" s="14">
        <v>200000</v>
      </c>
      <c r="S162" s="14">
        <v>0</v>
      </c>
      <c r="T162" s="28">
        <f t="shared" si="9"/>
        <v>3991788</v>
      </c>
      <c r="U162" s="26">
        <f>Q162+MIN(R162,요율기준!$B$17)+MIN(S162,요율기준!$B$18)</f>
        <v>300000</v>
      </c>
      <c r="V162" s="28">
        <f t="shared" si="10"/>
        <v>3691788</v>
      </c>
      <c r="W162" s="29">
        <f>'4대보험'!F162</f>
        <v>166130</v>
      </c>
      <c r="X162" s="29">
        <f>'4대보험'!H162</f>
        <v>130870</v>
      </c>
      <c r="Y162" s="29">
        <f>'4대보험'!J162</f>
        <v>16940</v>
      </c>
      <c r="Z162" s="29">
        <f>'4대보험'!L162</f>
        <v>33220</v>
      </c>
      <c r="AA162" s="29">
        <f>세금!P162</f>
        <v>140500</v>
      </c>
      <c r="AB162" s="29">
        <f>세금!Q162</f>
        <v>14050</v>
      </c>
      <c r="AC162" s="14">
        <v>0</v>
      </c>
      <c r="AD162" s="28">
        <f t="shared" si="11"/>
        <v>501710</v>
      </c>
      <c r="AE162" s="28">
        <f t="shared" si="12"/>
        <v>3490078</v>
      </c>
    </row>
    <row r="163" spans="1:31" x14ac:dyDescent="0.4">
      <c r="A163" s="23">
        <v>46082</v>
      </c>
      <c r="B163" s="17">
        <v>14</v>
      </c>
      <c r="C163" s="24" t="str">
        <f>직원정보!B18</f>
        <v>S0014</v>
      </c>
      <c r="D163" s="25" t="str">
        <f>직원정보!C18</f>
        <v>하나로</v>
      </c>
      <c r="E163" s="24" t="str">
        <f>직원정보!D18</f>
        <v>안전/공무</v>
      </c>
      <c r="F163" s="24" t="str">
        <f>직원정보!E18</f>
        <v>사원</v>
      </c>
      <c r="G163" s="14">
        <v>2700000</v>
      </c>
      <c r="H163" s="26">
        <f>ROUND(G163/요율기준!$B$14,0)</f>
        <v>12919</v>
      </c>
      <c r="I163" s="27">
        <v>12</v>
      </c>
      <c r="J163" s="27">
        <v>11</v>
      </c>
      <c r="K163" s="14">
        <v>220000</v>
      </c>
      <c r="L163" s="26">
        <f>ROUND(H163*요율기준!$B$15*I163,0)</f>
        <v>232542</v>
      </c>
      <c r="M163" s="26">
        <f>ROUND(H163*요율기준!$B$16*J163,0)</f>
        <v>71055</v>
      </c>
      <c r="N163" s="14">
        <v>0</v>
      </c>
      <c r="O163" s="14">
        <v>100000</v>
      </c>
      <c r="P163" s="14">
        <v>0</v>
      </c>
      <c r="Q163" s="14">
        <v>100000</v>
      </c>
      <c r="R163" s="14">
        <v>200000</v>
      </c>
      <c r="S163" s="14">
        <v>0</v>
      </c>
      <c r="T163" s="28">
        <f t="shared" si="9"/>
        <v>3623597</v>
      </c>
      <c r="U163" s="26">
        <f>Q163+MIN(R163,요율기준!$B$17)+MIN(S163,요율기준!$B$18)</f>
        <v>300000</v>
      </c>
      <c r="V163" s="28">
        <f t="shared" si="10"/>
        <v>3323597</v>
      </c>
      <c r="W163" s="29">
        <f>'4대보험'!F163</f>
        <v>149560</v>
      </c>
      <c r="X163" s="29">
        <f>'4대보험'!H163</f>
        <v>117820</v>
      </c>
      <c r="Y163" s="29">
        <f>'4대보험'!J163</f>
        <v>15250</v>
      </c>
      <c r="Z163" s="29">
        <f>'4대보험'!L163</f>
        <v>29910</v>
      </c>
      <c r="AA163" s="29">
        <f>세금!P163</f>
        <v>96180</v>
      </c>
      <c r="AB163" s="29">
        <f>세금!Q163</f>
        <v>9610</v>
      </c>
      <c r="AC163" s="14">
        <v>0</v>
      </c>
      <c r="AD163" s="28">
        <f t="shared" si="11"/>
        <v>418330</v>
      </c>
      <c r="AE163" s="28">
        <f t="shared" si="12"/>
        <v>3205267</v>
      </c>
    </row>
    <row r="164" spans="1:31" x14ac:dyDescent="0.4">
      <c r="A164" s="23">
        <v>46113</v>
      </c>
      <c r="B164" s="17">
        <v>14</v>
      </c>
      <c r="C164" s="24" t="str">
        <f>직원정보!B18</f>
        <v>S0014</v>
      </c>
      <c r="D164" s="25" t="str">
        <f>직원정보!C18</f>
        <v>하나로</v>
      </c>
      <c r="E164" s="24" t="str">
        <f>직원정보!D18</f>
        <v>안전/공무</v>
      </c>
      <c r="F164" s="24" t="str">
        <f>직원정보!E18</f>
        <v>사원</v>
      </c>
      <c r="G164" s="14">
        <v>2700000</v>
      </c>
      <c r="H164" s="26">
        <f>ROUND(G164/요율기준!$B$14,0)</f>
        <v>12919</v>
      </c>
      <c r="I164" s="27">
        <v>17</v>
      </c>
      <c r="J164" s="27">
        <v>2</v>
      </c>
      <c r="K164" s="14">
        <v>220000</v>
      </c>
      <c r="L164" s="26">
        <f>ROUND(H164*요율기준!$B$15*I164,0)</f>
        <v>329435</v>
      </c>
      <c r="M164" s="26">
        <f>ROUND(H164*요율기준!$B$16*J164,0)</f>
        <v>12919</v>
      </c>
      <c r="N164" s="14">
        <v>0</v>
      </c>
      <c r="O164" s="14">
        <v>100000</v>
      </c>
      <c r="P164" s="14">
        <v>0</v>
      </c>
      <c r="Q164" s="14">
        <v>100000</v>
      </c>
      <c r="R164" s="14">
        <v>200000</v>
      </c>
      <c r="S164" s="14">
        <v>0</v>
      </c>
      <c r="T164" s="28">
        <f t="shared" si="9"/>
        <v>3662354</v>
      </c>
      <c r="U164" s="26">
        <f>Q164+MIN(R164,요율기준!$B$17)+MIN(S164,요율기준!$B$18)</f>
        <v>300000</v>
      </c>
      <c r="V164" s="28">
        <f t="shared" si="10"/>
        <v>3362354</v>
      </c>
      <c r="W164" s="29">
        <f>'4대보험'!F164</f>
        <v>151300</v>
      </c>
      <c r="X164" s="29">
        <f>'4대보험'!H164</f>
        <v>119190</v>
      </c>
      <c r="Y164" s="29">
        <f>'4대보험'!J164</f>
        <v>15430</v>
      </c>
      <c r="Z164" s="29">
        <f>'4대보험'!L164</f>
        <v>30260</v>
      </c>
      <c r="AA164" s="29">
        <f>세금!P164</f>
        <v>100930</v>
      </c>
      <c r="AB164" s="29">
        <f>세금!Q164</f>
        <v>10090</v>
      </c>
      <c r="AC164" s="14">
        <v>0</v>
      </c>
      <c r="AD164" s="28">
        <f t="shared" si="11"/>
        <v>427200</v>
      </c>
      <c r="AE164" s="28">
        <f t="shared" si="12"/>
        <v>3235154</v>
      </c>
    </row>
    <row r="165" spans="1:31" x14ac:dyDescent="0.4">
      <c r="A165" s="23">
        <v>46143</v>
      </c>
      <c r="B165" s="17">
        <v>14</v>
      </c>
      <c r="C165" s="24" t="str">
        <f>직원정보!B18</f>
        <v>S0014</v>
      </c>
      <c r="D165" s="25" t="str">
        <f>직원정보!C18</f>
        <v>하나로</v>
      </c>
      <c r="E165" s="24" t="str">
        <f>직원정보!D18</f>
        <v>안전/공무</v>
      </c>
      <c r="F165" s="24" t="str">
        <f>직원정보!E18</f>
        <v>사원</v>
      </c>
      <c r="G165" s="14">
        <v>2700000</v>
      </c>
      <c r="H165" s="26">
        <f>ROUND(G165/요율기준!$B$14,0)</f>
        <v>12919</v>
      </c>
      <c r="I165" s="27">
        <v>22</v>
      </c>
      <c r="J165" s="27">
        <v>5</v>
      </c>
      <c r="K165" s="14">
        <v>220000</v>
      </c>
      <c r="L165" s="26">
        <f>ROUND(H165*요율기준!$B$15*I165,0)</f>
        <v>426327</v>
      </c>
      <c r="M165" s="26">
        <f>ROUND(H165*요율기준!$B$16*J165,0)</f>
        <v>32298</v>
      </c>
      <c r="N165" s="14">
        <v>0</v>
      </c>
      <c r="O165" s="14">
        <v>100000</v>
      </c>
      <c r="P165" s="14">
        <v>0</v>
      </c>
      <c r="Q165" s="14">
        <v>100000</v>
      </c>
      <c r="R165" s="14">
        <v>200000</v>
      </c>
      <c r="S165" s="14">
        <v>0</v>
      </c>
      <c r="T165" s="28">
        <f t="shared" si="9"/>
        <v>3778625</v>
      </c>
      <c r="U165" s="26">
        <f>Q165+MIN(R165,요율기준!$B$17)+MIN(S165,요율기준!$B$18)</f>
        <v>300000</v>
      </c>
      <c r="V165" s="28">
        <f t="shared" si="10"/>
        <v>3478625</v>
      </c>
      <c r="W165" s="29">
        <f>'4대보험'!F165</f>
        <v>156530</v>
      </c>
      <c r="X165" s="29">
        <f>'4대보험'!H165</f>
        <v>123310</v>
      </c>
      <c r="Y165" s="29">
        <f>'4대보험'!J165</f>
        <v>15960</v>
      </c>
      <c r="Z165" s="29">
        <f>'4대보험'!L165</f>
        <v>31300</v>
      </c>
      <c r="AA165" s="29">
        <f>세금!P165</f>
        <v>115210</v>
      </c>
      <c r="AB165" s="29">
        <f>세금!Q165</f>
        <v>11520</v>
      </c>
      <c r="AC165" s="14">
        <v>0</v>
      </c>
      <c r="AD165" s="28">
        <f t="shared" si="11"/>
        <v>453830</v>
      </c>
      <c r="AE165" s="28">
        <f t="shared" si="12"/>
        <v>3324795</v>
      </c>
    </row>
    <row r="166" spans="1:31" x14ac:dyDescent="0.4">
      <c r="A166" s="23">
        <v>46174</v>
      </c>
      <c r="B166" s="17">
        <v>14</v>
      </c>
      <c r="C166" s="24" t="str">
        <f>직원정보!B18</f>
        <v>S0014</v>
      </c>
      <c r="D166" s="25" t="str">
        <f>직원정보!C18</f>
        <v>하나로</v>
      </c>
      <c r="E166" s="24" t="str">
        <f>직원정보!D18</f>
        <v>안전/공무</v>
      </c>
      <c r="F166" s="24" t="str">
        <f>직원정보!E18</f>
        <v>사원</v>
      </c>
      <c r="G166" s="14">
        <v>2700000</v>
      </c>
      <c r="H166" s="26">
        <f>ROUND(G166/요율기준!$B$14,0)</f>
        <v>12919</v>
      </c>
      <c r="I166" s="27">
        <v>27</v>
      </c>
      <c r="J166" s="27">
        <v>8</v>
      </c>
      <c r="K166" s="14">
        <v>220000</v>
      </c>
      <c r="L166" s="26">
        <f>ROUND(H166*요율기준!$B$15*I166,0)</f>
        <v>523220</v>
      </c>
      <c r="M166" s="26">
        <f>ROUND(H166*요율기준!$B$16*J166,0)</f>
        <v>51676</v>
      </c>
      <c r="N166" s="14">
        <v>0</v>
      </c>
      <c r="O166" s="14">
        <v>100000</v>
      </c>
      <c r="P166" s="14">
        <v>0</v>
      </c>
      <c r="Q166" s="14">
        <v>100000</v>
      </c>
      <c r="R166" s="14">
        <v>200000</v>
      </c>
      <c r="S166" s="14">
        <v>0</v>
      </c>
      <c r="T166" s="28">
        <f t="shared" si="9"/>
        <v>3894896</v>
      </c>
      <c r="U166" s="26">
        <f>Q166+MIN(R166,요율기준!$B$17)+MIN(S166,요율기준!$B$18)</f>
        <v>300000</v>
      </c>
      <c r="V166" s="28">
        <f t="shared" si="10"/>
        <v>3594896</v>
      </c>
      <c r="W166" s="29">
        <f>'4대보험'!F166</f>
        <v>161770</v>
      </c>
      <c r="X166" s="29">
        <f>'4대보험'!H166</f>
        <v>127430</v>
      </c>
      <c r="Y166" s="29">
        <f>'4대보험'!J166</f>
        <v>16500</v>
      </c>
      <c r="Z166" s="29">
        <f>'4대보험'!L166</f>
        <v>32350</v>
      </c>
      <c r="AA166" s="29">
        <f>세금!P166</f>
        <v>129380</v>
      </c>
      <c r="AB166" s="29">
        <f>세금!Q166</f>
        <v>12930</v>
      </c>
      <c r="AC166" s="14">
        <v>0</v>
      </c>
      <c r="AD166" s="28">
        <f t="shared" si="11"/>
        <v>480360</v>
      </c>
      <c r="AE166" s="28">
        <f t="shared" si="12"/>
        <v>3414536</v>
      </c>
    </row>
    <row r="167" spans="1:31" x14ac:dyDescent="0.4">
      <c r="A167" s="23">
        <v>46204</v>
      </c>
      <c r="B167" s="17">
        <v>14</v>
      </c>
      <c r="C167" s="24" t="str">
        <f>직원정보!B18</f>
        <v>S0014</v>
      </c>
      <c r="D167" s="25" t="str">
        <f>직원정보!C18</f>
        <v>하나로</v>
      </c>
      <c r="E167" s="24" t="str">
        <f>직원정보!D18</f>
        <v>안전/공무</v>
      </c>
      <c r="F167" s="24" t="str">
        <f>직원정보!E18</f>
        <v>사원</v>
      </c>
      <c r="G167" s="14">
        <v>2700000</v>
      </c>
      <c r="H167" s="26">
        <f>ROUND(G167/요율기준!$B$14,0)</f>
        <v>12919</v>
      </c>
      <c r="I167" s="27">
        <v>32</v>
      </c>
      <c r="J167" s="27">
        <v>11</v>
      </c>
      <c r="K167" s="14">
        <v>220000</v>
      </c>
      <c r="L167" s="26">
        <f>ROUND(H167*요율기준!$B$15*I167,0)</f>
        <v>620112</v>
      </c>
      <c r="M167" s="26">
        <f>ROUND(H167*요율기준!$B$16*J167,0)</f>
        <v>71055</v>
      </c>
      <c r="N167" s="14">
        <v>0</v>
      </c>
      <c r="O167" s="14">
        <v>100000</v>
      </c>
      <c r="P167" s="14">
        <v>0</v>
      </c>
      <c r="Q167" s="14">
        <v>100000</v>
      </c>
      <c r="R167" s="14">
        <v>200000</v>
      </c>
      <c r="S167" s="14">
        <v>0</v>
      </c>
      <c r="T167" s="28">
        <f t="shared" si="9"/>
        <v>4011167</v>
      </c>
      <c r="U167" s="26">
        <f>Q167+MIN(R167,요율기준!$B$17)+MIN(S167,요율기준!$B$18)</f>
        <v>300000</v>
      </c>
      <c r="V167" s="28">
        <f t="shared" si="10"/>
        <v>3711167</v>
      </c>
      <c r="W167" s="29">
        <f>'4대보험'!F167</f>
        <v>167000</v>
      </c>
      <c r="X167" s="29">
        <f>'4대보험'!H167</f>
        <v>131560</v>
      </c>
      <c r="Y167" s="29">
        <f>'4대보험'!J167</f>
        <v>17030</v>
      </c>
      <c r="Z167" s="29">
        <f>'4대보험'!L167</f>
        <v>33400</v>
      </c>
      <c r="AA167" s="29">
        <f>세금!P167</f>
        <v>142730</v>
      </c>
      <c r="AB167" s="29">
        <f>세금!Q167</f>
        <v>14270</v>
      </c>
      <c r="AC167" s="14">
        <v>0</v>
      </c>
      <c r="AD167" s="28">
        <f t="shared" si="11"/>
        <v>505990</v>
      </c>
      <c r="AE167" s="28">
        <f t="shared" si="12"/>
        <v>3505177</v>
      </c>
    </row>
    <row r="168" spans="1:31" x14ac:dyDescent="0.4">
      <c r="A168" s="23">
        <v>46235</v>
      </c>
      <c r="B168" s="17">
        <v>14</v>
      </c>
      <c r="C168" s="24" t="str">
        <f>직원정보!B18</f>
        <v>S0014</v>
      </c>
      <c r="D168" s="25" t="str">
        <f>직원정보!C18</f>
        <v>하나로</v>
      </c>
      <c r="E168" s="24" t="str">
        <f>직원정보!D18</f>
        <v>안전/공무</v>
      </c>
      <c r="F168" s="24" t="str">
        <f>직원정보!E18</f>
        <v>사원</v>
      </c>
      <c r="G168" s="14">
        <v>2700000</v>
      </c>
      <c r="H168" s="26">
        <f>ROUND(G168/요율기준!$B$14,0)</f>
        <v>12919</v>
      </c>
      <c r="I168" s="27">
        <v>12</v>
      </c>
      <c r="J168" s="27">
        <v>2</v>
      </c>
      <c r="K168" s="14">
        <v>220000</v>
      </c>
      <c r="L168" s="26">
        <f>ROUND(H168*요율기준!$B$15*I168,0)</f>
        <v>232542</v>
      </c>
      <c r="M168" s="26">
        <f>ROUND(H168*요율기준!$B$16*J168,0)</f>
        <v>12919</v>
      </c>
      <c r="N168" s="14">
        <v>0</v>
      </c>
      <c r="O168" s="14">
        <v>100000</v>
      </c>
      <c r="P168" s="14">
        <v>0</v>
      </c>
      <c r="Q168" s="14">
        <v>100000</v>
      </c>
      <c r="R168" s="14">
        <v>200000</v>
      </c>
      <c r="S168" s="14">
        <v>0</v>
      </c>
      <c r="T168" s="28">
        <f t="shared" si="9"/>
        <v>3565461</v>
      </c>
      <c r="U168" s="26">
        <f>Q168+MIN(R168,요율기준!$B$17)+MIN(S168,요율기준!$B$18)</f>
        <v>300000</v>
      </c>
      <c r="V168" s="28">
        <f t="shared" si="10"/>
        <v>3265461</v>
      </c>
      <c r="W168" s="29">
        <f>'4대보험'!F168</f>
        <v>146940</v>
      </c>
      <c r="X168" s="29">
        <f>'4대보험'!H168</f>
        <v>115760</v>
      </c>
      <c r="Y168" s="29">
        <f>'4대보험'!J168</f>
        <v>14990</v>
      </c>
      <c r="Z168" s="29">
        <f>'4대보험'!L168</f>
        <v>29380</v>
      </c>
      <c r="AA168" s="29">
        <f>세금!P168</f>
        <v>89040</v>
      </c>
      <c r="AB168" s="29">
        <f>세금!Q168</f>
        <v>8900</v>
      </c>
      <c r="AC168" s="14">
        <v>0</v>
      </c>
      <c r="AD168" s="28">
        <f t="shared" si="11"/>
        <v>405010</v>
      </c>
      <c r="AE168" s="28">
        <f t="shared" si="12"/>
        <v>3160451</v>
      </c>
    </row>
    <row r="169" spans="1:31" x14ac:dyDescent="0.4">
      <c r="A169" s="23">
        <v>46266</v>
      </c>
      <c r="B169" s="17">
        <v>14</v>
      </c>
      <c r="C169" s="24" t="str">
        <f>직원정보!B18</f>
        <v>S0014</v>
      </c>
      <c r="D169" s="25" t="str">
        <f>직원정보!C18</f>
        <v>하나로</v>
      </c>
      <c r="E169" s="24" t="str">
        <f>직원정보!D18</f>
        <v>안전/공무</v>
      </c>
      <c r="F169" s="24" t="str">
        <f>직원정보!E18</f>
        <v>사원</v>
      </c>
      <c r="G169" s="14">
        <v>2700000</v>
      </c>
      <c r="H169" s="26">
        <f>ROUND(G169/요율기준!$B$14,0)</f>
        <v>12919</v>
      </c>
      <c r="I169" s="27">
        <v>17</v>
      </c>
      <c r="J169" s="27">
        <v>5</v>
      </c>
      <c r="K169" s="14">
        <v>220000</v>
      </c>
      <c r="L169" s="26">
        <f>ROUND(H169*요율기준!$B$15*I169,0)</f>
        <v>329435</v>
      </c>
      <c r="M169" s="26">
        <f>ROUND(H169*요율기준!$B$16*J169,0)</f>
        <v>32298</v>
      </c>
      <c r="N169" s="14">
        <v>0</v>
      </c>
      <c r="O169" s="14">
        <v>100000</v>
      </c>
      <c r="P169" s="14">
        <v>0</v>
      </c>
      <c r="Q169" s="14">
        <v>100000</v>
      </c>
      <c r="R169" s="14">
        <v>200000</v>
      </c>
      <c r="S169" s="14">
        <v>0</v>
      </c>
      <c r="T169" s="28">
        <f t="shared" si="9"/>
        <v>3681733</v>
      </c>
      <c r="U169" s="26">
        <f>Q169+MIN(R169,요율기준!$B$17)+MIN(S169,요율기준!$B$18)</f>
        <v>300000</v>
      </c>
      <c r="V169" s="28">
        <f t="shared" si="10"/>
        <v>3381733</v>
      </c>
      <c r="W169" s="29">
        <f>'4대보험'!F169</f>
        <v>152170</v>
      </c>
      <c r="X169" s="29">
        <f>'4대보험'!H169</f>
        <v>119880</v>
      </c>
      <c r="Y169" s="29">
        <f>'4대보험'!J169</f>
        <v>15520</v>
      </c>
      <c r="Z169" s="29">
        <f>'4대보험'!L169</f>
        <v>30430</v>
      </c>
      <c r="AA169" s="29">
        <f>세금!P169</f>
        <v>103310</v>
      </c>
      <c r="AB169" s="29">
        <f>세금!Q169</f>
        <v>10330</v>
      </c>
      <c r="AC169" s="14">
        <v>0</v>
      </c>
      <c r="AD169" s="28">
        <f t="shared" si="11"/>
        <v>431640</v>
      </c>
      <c r="AE169" s="28">
        <f t="shared" si="12"/>
        <v>3250093</v>
      </c>
    </row>
    <row r="170" spans="1:31" x14ac:dyDescent="0.4">
      <c r="A170" s="23">
        <v>46296</v>
      </c>
      <c r="B170" s="17">
        <v>14</v>
      </c>
      <c r="C170" s="24" t="str">
        <f>직원정보!B18</f>
        <v>S0014</v>
      </c>
      <c r="D170" s="25" t="str">
        <f>직원정보!C18</f>
        <v>하나로</v>
      </c>
      <c r="E170" s="24" t="str">
        <f>직원정보!D18</f>
        <v>안전/공무</v>
      </c>
      <c r="F170" s="24" t="str">
        <f>직원정보!E18</f>
        <v>사원</v>
      </c>
      <c r="G170" s="14">
        <v>2700000</v>
      </c>
      <c r="H170" s="26">
        <f>ROUND(G170/요율기준!$B$14,0)</f>
        <v>12919</v>
      </c>
      <c r="I170" s="27">
        <v>22</v>
      </c>
      <c r="J170" s="27">
        <v>8</v>
      </c>
      <c r="K170" s="14">
        <v>220000</v>
      </c>
      <c r="L170" s="26">
        <f>ROUND(H170*요율기준!$B$15*I170,0)</f>
        <v>426327</v>
      </c>
      <c r="M170" s="26">
        <f>ROUND(H170*요율기준!$B$16*J170,0)</f>
        <v>51676</v>
      </c>
      <c r="N170" s="14">
        <v>0</v>
      </c>
      <c r="O170" s="14">
        <v>100000</v>
      </c>
      <c r="P170" s="14">
        <v>0</v>
      </c>
      <c r="Q170" s="14">
        <v>100000</v>
      </c>
      <c r="R170" s="14">
        <v>200000</v>
      </c>
      <c r="S170" s="14">
        <v>0</v>
      </c>
      <c r="T170" s="28">
        <f t="shared" si="9"/>
        <v>3798003</v>
      </c>
      <c r="U170" s="26">
        <f>Q170+MIN(R170,요율기준!$B$17)+MIN(S170,요율기준!$B$18)</f>
        <v>300000</v>
      </c>
      <c r="V170" s="28">
        <f t="shared" si="10"/>
        <v>3498003</v>
      </c>
      <c r="W170" s="29">
        <f>'4대보험'!F170</f>
        <v>157410</v>
      </c>
      <c r="X170" s="29">
        <f>'4대보험'!H170</f>
        <v>124000</v>
      </c>
      <c r="Y170" s="29">
        <f>'4대보험'!J170</f>
        <v>16050</v>
      </c>
      <c r="Z170" s="29">
        <f>'4대보험'!L170</f>
        <v>31480</v>
      </c>
      <c r="AA170" s="29">
        <f>세금!P170</f>
        <v>117580</v>
      </c>
      <c r="AB170" s="29">
        <f>세금!Q170</f>
        <v>11750</v>
      </c>
      <c r="AC170" s="14">
        <v>0</v>
      </c>
      <c r="AD170" s="28">
        <f t="shared" si="11"/>
        <v>458270</v>
      </c>
      <c r="AE170" s="28">
        <f t="shared" si="12"/>
        <v>3339733</v>
      </c>
    </row>
    <row r="171" spans="1:31" x14ac:dyDescent="0.4">
      <c r="A171" s="23">
        <v>46327</v>
      </c>
      <c r="B171" s="17">
        <v>14</v>
      </c>
      <c r="C171" s="24" t="str">
        <f>직원정보!B18</f>
        <v>S0014</v>
      </c>
      <c r="D171" s="25" t="str">
        <f>직원정보!C18</f>
        <v>하나로</v>
      </c>
      <c r="E171" s="24" t="str">
        <f>직원정보!D18</f>
        <v>안전/공무</v>
      </c>
      <c r="F171" s="24" t="str">
        <f>직원정보!E18</f>
        <v>사원</v>
      </c>
      <c r="G171" s="14">
        <v>2700000</v>
      </c>
      <c r="H171" s="26">
        <f>ROUND(G171/요율기준!$B$14,0)</f>
        <v>12919</v>
      </c>
      <c r="I171" s="27">
        <v>27</v>
      </c>
      <c r="J171" s="27">
        <v>11</v>
      </c>
      <c r="K171" s="14">
        <v>220000</v>
      </c>
      <c r="L171" s="26">
        <f>ROUND(H171*요율기준!$B$15*I171,0)</f>
        <v>523220</v>
      </c>
      <c r="M171" s="26">
        <f>ROUND(H171*요율기준!$B$16*J171,0)</f>
        <v>71055</v>
      </c>
      <c r="N171" s="14">
        <v>0</v>
      </c>
      <c r="O171" s="14">
        <v>100000</v>
      </c>
      <c r="P171" s="14">
        <v>0</v>
      </c>
      <c r="Q171" s="14">
        <v>100000</v>
      </c>
      <c r="R171" s="14">
        <v>200000</v>
      </c>
      <c r="S171" s="14">
        <v>0</v>
      </c>
      <c r="T171" s="28">
        <f t="shared" si="9"/>
        <v>3914275</v>
      </c>
      <c r="U171" s="26">
        <f>Q171+MIN(R171,요율기준!$B$17)+MIN(S171,요율기준!$B$18)</f>
        <v>300000</v>
      </c>
      <c r="V171" s="28">
        <f t="shared" si="10"/>
        <v>3614275</v>
      </c>
      <c r="W171" s="29">
        <f>'4대보험'!F171</f>
        <v>162640</v>
      </c>
      <c r="X171" s="29">
        <f>'4대보험'!H171</f>
        <v>128120</v>
      </c>
      <c r="Y171" s="29">
        <f>'4대보험'!J171</f>
        <v>16590</v>
      </c>
      <c r="Z171" s="29">
        <f>'4대보험'!L171</f>
        <v>32520</v>
      </c>
      <c r="AA171" s="29">
        <f>세금!P171</f>
        <v>131610</v>
      </c>
      <c r="AB171" s="29">
        <f>세금!Q171</f>
        <v>13160</v>
      </c>
      <c r="AC171" s="14">
        <v>0</v>
      </c>
      <c r="AD171" s="28">
        <f t="shared" si="11"/>
        <v>484640</v>
      </c>
      <c r="AE171" s="28">
        <f t="shared" si="12"/>
        <v>3429635</v>
      </c>
    </row>
    <row r="172" spans="1:31" x14ac:dyDescent="0.4">
      <c r="A172" s="23">
        <v>46357</v>
      </c>
      <c r="B172" s="17">
        <v>14</v>
      </c>
      <c r="C172" s="24" t="str">
        <f>직원정보!B18</f>
        <v>S0014</v>
      </c>
      <c r="D172" s="25" t="str">
        <f>직원정보!C18</f>
        <v>하나로</v>
      </c>
      <c r="E172" s="24" t="str">
        <f>직원정보!D18</f>
        <v>안전/공무</v>
      </c>
      <c r="F172" s="24" t="str">
        <f>직원정보!E18</f>
        <v>사원</v>
      </c>
      <c r="G172" s="14">
        <v>2700000</v>
      </c>
      <c r="H172" s="26">
        <f>ROUND(G172/요율기준!$B$14,0)</f>
        <v>12919</v>
      </c>
      <c r="I172" s="27">
        <v>32</v>
      </c>
      <c r="J172" s="27">
        <v>2</v>
      </c>
      <c r="K172" s="14">
        <v>220000</v>
      </c>
      <c r="L172" s="26">
        <f>ROUND(H172*요율기준!$B$15*I172,0)</f>
        <v>620112</v>
      </c>
      <c r="M172" s="26">
        <f>ROUND(H172*요율기준!$B$16*J172,0)</f>
        <v>12919</v>
      </c>
      <c r="N172" s="14">
        <v>0</v>
      </c>
      <c r="O172" s="14">
        <v>100000</v>
      </c>
      <c r="P172" s="14">
        <v>0</v>
      </c>
      <c r="Q172" s="14">
        <v>100000</v>
      </c>
      <c r="R172" s="14">
        <v>200000</v>
      </c>
      <c r="S172" s="14">
        <v>0</v>
      </c>
      <c r="T172" s="28">
        <f t="shared" si="9"/>
        <v>3953031</v>
      </c>
      <c r="U172" s="26">
        <f>Q172+MIN(R172,요율기준!$B$17)+MIN(S172,요율기준!$B$18)</f>
        <v>300000</v>
      </c>
      <c r="V172" s="28">
        <f t="shared" si="10"/>
        <v>3653031</v>
      </c>
      <c r="W172" s="29">
        <f>'4대보험'!F172</f>
        <v>164380</v>
      </c>
      <c r="X172" s="29">
        <f>'4대보험'!H172</f>
        <v>129490</v>
      </c>
      <c r="Y172" s="29">
        <f>'4대보험'!J172</f>
        <v>16760</v>
      </c>
      <c r="Z172" s="29">
        <f>'4대보험'!L172</f>
        <v>32870</v>
      </c>
      <c r="AA172" s="29">
        <f>세금!P172</f>
        <v>136060</v>
      </c>
      <c r="AB172" s="29">
        <f>세금!Q172</f>
        <v>13600</v>
      </c>
      <c r="AC172" s="14">
        <v>0</v>
      </c>
      <c r="AD172" s="28">
        <f t="shared" si="11"/>
        <v>493160</v>
      </c>
      <c r="AE172" s="28">
        <f t="shared" si="12"/>
        <v>3459871</v>
      </c>
    </row>
    <row r="173" spans="1:31" x14ac:dyDescent="0.4">
      <c r="A173" s="23">
        <v>46023</v>
      </c>
      <c r="B173" s="17">
        <v>15</v>
      </c>
      <c r="C173" s="24" t="str">
        <f>직원정보!B19</f>
        <v>S0015</v>
      </c>
      <c r="D173" s="25" t="str">
        <f>직원정보!C19</f>
        <v>한결이</v>
      </c>
      <c r="E173" s="24" t="str">
        <f>직원정보!D19</f>
        <v>공사사업부</v>
      </c>
      <c r="F173" s="24" t="str">
        <f>직원정보!E19</f>
        <v>기사</v>
      </c>
      <c r="G173" s="14">
        <v>3200000</v>
      </c>
      <c r="H173" s="26">
        <f>ROUND(G173/요율기준!$B$14,0)</f>
        <v>15311</v>
      </c>
      <c r="I173" s="27">
        <v>30</v>
      </c>
      <c r="J173" s="27">
        <v>7</v>
      </c>
      <c r="K173" s="14">
        <v>260000</v>
      </c>
      <c r="L173" s="26">
        <f>ROUND(H173*요율기준!$B$15*I173,0)</f>
        <v>688995</v>
      </c>
      <c r="M173" s="26">
        <f>ROUND(H173*요율기준!$B$16*J173,0)</f>
        <v>53589</v>
      </c>
      <c r="N173" s="14">
        <v>0</v>
      </c>
      <c r="O173" s="14">
        <v>100000</v>
      </c>
      <c r="P173" s="14">
        <v>100000</v>
      </c>
      <c r="Q173" s="14">
        <v>100000</v>
      </c>
      <c r="R173" s="14">
        <v>200000</v>
      </c>
      <c r="S173" s="14">
        <v>0</v>
      </c>
      <c r="T173" s="28">
        <f t="shared" si="9"/>
        <v>4702584</v>
      </c>
      <c r="U173" s="26">
        <f>Q173+MIN(R173,요율기준!$B$17)+MIN(S173,요율기준!$B$18)</f>
        <v>300000</v>
      </c>
      <c r="V173" s="28">
        <f t="shared" si="10"/>
        <v>4402584</v>
      </c>
      <c r="W173" s="29">
        <f>'4대보험'!F173</f>
        <v>198110</v>
      </c>
      <c r="X173" s="29">
        <f>'4대보험'!H173</f>
        <v>156070</v>
      </c>
      <c r="Y173" s="29">
        <f>'4대보험'!J173</f>
        <v>20210</v>
      </c>
      <c r="Z173" s="29">
        <f>'4대보험'!L173</f>
        <v>39620</v>
      </c>
      <c r="AA173" s="29">
        <f>세금!P173</f>
        <v>231860</v>
      </c>
      <c r="AB173" s="29">
        <f>세금!Q173</f>
        <v>23180</v>
      </c>
      <c r="AC173" s="14">
        <v>0</v>
      </c>
      <c r="AD173" s="28">
        <f t="shared" si="11"/>
        <v>669050</v>
      </c>
      <c r="AE173" s="28">
        <f t="shared" si="12"/>
        <v>4033534</v>
      </c>
    </row>
    <row r="174" spans="1:31" x14ac:dyDescent="0.4">
      <c r="A174" s="23">
        <v>46054</v>
      </c>
      <c r="B174" s="17">
        <v>15</v>
      </c>
      <c r="C174" s="24" t="str">
        <f>직원정보!B19</f>
        <v>S0015</v>
      </c>
      <c r="D174" s="25" t="str">
        <f>직원정보!C19</f>
        <v>한결이</v>
      </c>
      <c r="E174" s="24" t="str">
        <f>직원정보!D19</f>
        <v>공사사업부</v>
      </c>
      <c r="F174" s="24" t="str">
        <f>직원정보!E19</f>
        <v>기사</v>
      </c>
      <c r="G174" s="14">
        <v>3200000</v>
      </c>
      <c r="H174" s="26">
        <f>ROUND(G174/요율기준!$B$14,0)</f>
        <v>15311</v>
      </c>
      <c r="I174" s="27">
        <v>10</v>
      </c>
      <c r="J174" s="27">
        <v>10</v>
      </c>
      <c r="K174" s="14">
        <v>260000</v>
      </c>
      <c r="L174" s="26">
        <f>ROUND(H174*요율기준!$B$15*I174,0)</f>
        <v>229665</v>
      </c>
      <c r="M174" s="26">
        <f>ROUND(H174*요율기준!$B$16*J174,0)</f>
        <v>76555</v>
      </c>
      <c r="N174" s="14">
        <v>0</v>
      </c>
      <c r="O174" s="14">
        <v>100000</v>
      </c>
      <c r="P174" s="14">
        <v>100000</v>
      </c>
      <c r="Q174" s="14">
        <v>100000</v>
      </c>
      <c r="R174" s="14">
        <v>200000</v>
      </c>
      <c r="S174" s="14">
        <v>0</v>
      </c>
      <c r="T174" s="28">
        <f t="shared" si="9"/>
        <v>4266220</v>
      </c>
      <c r="U174" s="26">
        <f>Q174+MIN(R174,요율기준!$B$17)+MIN(S174,요율기준!$B$18)</f>
        <v>300000</v>
      </c>
      <c r="V174" s="28">
        <f t="shared" si="10"/>
        <v>3966220</v>
      </c>
      <c r="W174" s="29">
        <f>'4대보험'!F174</f>
        <v>178470</v>
      </c>
      <c r="X174" s="29">
        <f>'4대보험'!H174</f>
        <v>140600</v>
      </c>
      <c r="Y174" s="29">
        <f>'4대보험'!J174</f>
        <v>18200</v>
      </c>
      <c r="Z174" s="29">
        <f>'4대보험'!L174</f>
        <v>35690</v>
      </c>
      <c r="AA174" s="29">
        <f>세금!P174</f>
        <v>175240</v>
      </c>
      <c r="AB174" s="29">
        <f>세금!Q174</f>
        <v>17520</v>
      </c>
      <c r="AC174" s="14">
        <v>0</v>
      </c>
      <c r="AD174" s="28">
        <f t="shared" si="11"/>
        <v>565720</v>
      </c>
      <c r="AE174" s="28">
        <f t="shared" si="12"/>
        <v>3700500</v>
      </c>
    </row>
    <row r="175" spans="1:31" x14ac:dyDescent="0.4">
      <c r="A175" s="23">
        <v>46082</v>
      </c>
      <c r="B175" s="17">
        <v>15</v>
      </c>
      <c r="C175" s="24" t="str">
        <f>직원정보!B19</f>
        <v>S0015</v>
      </c>
      <c r="D175" s="25" t="str">
        <f>직원정보!C19</f>
        <v>한결이</v>
      </c>
      <c r="E175" s="24" t="str">
        <f>직원정보!D19</f>
        <v>공사사업부</v>
      </c>
      <c r="F175" s="24" t="str">
        <f>직원정보!E19</f>
        <v>기사</v>
      </c>
      <c r="G175" s="14">
        <v>3200000</v>
      </c>
      <c r="H175" s="26">
        <f>ROUND(G175/요율기준!$B$14,0)</f>
        <v>15311</v>
      </c>
      <c r="I175" s="27">
        <v>15</v>
      </c>
      <c r="J175" s="27">
        <v>1</v>
      </c>
      <c r="K175" s="14">
        <v>260000</v>
      </c>
      <c r="L175" s="26">
        <f>ROUND(H175*요율기준!$B$15*I175,0)</f>
        <v>344498</v>
      </c>
      <c r="M175" s="26">
        <f>ROUND(H175*요율기준!$B$16*J175,0)</f>
        <v>7656</v>
      </c>
      <c r="N175" s="14">
        <v>0</v>
      </c>
      <c r="O175" s="14">
        <v>100000</v>
      </c>
      <c r="P175" s="14">
        <v>100000</v>
      </c>
      <c r="Q175" s="14">
        <v>100000</v>
      </c>
      <c r="R175" s="14">
        <v>200000</v>
      </c>
      <c r="S175" s="14">
        <v>0</v>
      </c>
      <c r="T175" s="28">
        <f t="shared" si="9"/>
        <v>4312154</v>
      </c>
      <c r="U175" s="26">
        <f>Q175+MIN(R175,요율기준!$B$17)+MIN(S175,요율기준!$B$18)</f>
        <v>300000</v>
      </c>
      <c r="V175" s="28">
        <f t="shared" si="10"/>
        <v>4012154</v>
      </c>
      <c r="W175" s="29">
        <f>'4대보험'!F175</f>
        <v>180540</v>
      </c>
      <c r="X175" s="29">
        <f>'4대보험'!H175</f>
        <v>142230</v>
      </c>
      <c r="Y175" s="29">
        <f>'4대보험'!J175</f>
        <v>18410</v>
      </c>
      <c r="Z175" s="29">
        <f>'4대보험'!L175</f>
        <v>36100</v>
      </c>
      <c r="AA175" s="29">
        <f>세금!P175</f>
        <v>181200</v>
      </c>
      <c r="AB175" s="29">
        <f>세금!Q175</f>
        <v>18120</v>
      </c>
      <c r="AC175" s="14">
        <v>0</v>
      </c>
      <c r="AD175" s="28">
        <f t="shared" si="11"/>
        <v>576600</v>
      </c>
      <c r="AE175" s="28">
        <f t="shared" si="12"/>
        <v>3735554</v>
      </c>
    </row>
    <row r="176" spans="1:31" x14ac:dyDescent="0.4">
      <c r="A176" s="23">
        <v>46113</v>
      </c>
      <c r="B176" s="17">
        <v>15</v>
      </c>
      <c r="C176" s="24" t="str">
        <f>직원정보!B19</f>
        <v>S0015</v>
      </c>
      <c r="D176" s="25" t="str">
        <f>직원정보!C19</f>
        <v>한결이</v>
      </c>
      <c r="E176" s="24" t="str">
        <f>직원정보!D19</f>
        <v>공사사업부</v>
      </c>
      <c r="F176" s="24" t="str">
        <f>직원정보!E19</f>
        <v>기사</v>
      </c>
      <c r="G176" s="14">
        <v>3200000</v>
      </c>
      <c r="H176" s="26">
        <f>ROUND(G176/요율기준!$B$14,0)</f>
        <v>15311</v>
      </c>
      <c r="I176" s="27">
        <v>20</v>
      </c>
      <c r="J176" s="27">
        <v>4</v>
      </c>
      <c r="K176" s="14">
        <v>260000</v>
      </c>
      <c r="L176" s="26">
        <f>ROUND(H176*요율기준!$B$15*I176,0)</f>
        <v>459330</v>
      </c>
      <c r="M176" s="26">
        <f>ROUND(H176*요율기준!$B$16*J176,0)</f>
        <v>30622</v>
      </c>
      <c r="N176" s="14">
        <v>0</v>
      </c>
      <c r="O176" s="14">
        <v>100000</v>
      </c>
      <c r="P176" s="14">
        <v>100000</v>
      </c>
      <c r="Q176" s="14">
        <v>100000</v>
      </c>
      <c r="R176" s="14">
        <v>200000</v>
      </c>
      <c r="S176" s="14">
        <v>0</v>
      </c>
      <c r="T176" s="28">
        <f t="shared" si="9"/>
        <v>4449952</v>
      </c>
      <c r="U176" s="26">
        <f>Q176+MIN(R176,요율기준!$B$17)+MIN(S176,요율기준!$B$18)</f>
        <v>300000</v>
      </c>
      <c r="V176" s="28">
        <f t="shared" si="10"/>
        <v>4149952</v>
      </c>
      <c r="W176" s="29">
        <f>'4대보험'!F176</f>
        <v>186740</v>
      </c>
      <c r="X176" s="29">
        <f>'4대보험'!H176</f>
        <v>147110</v>
      </c>
      <c r="Y176" s="29">
        <f>'4대보험'!J176</f>
        <v>19050</v>
      </c>
      <c r="Z176" s="29">
        <f>'4대보험'!L176</f>
        <v>37340</v>
      </c>
      <c r="AA176" s="29">
        <f>세금!P176</f>
        <v>199080</v>
      </c>
      <c r="AB176" s="29">
        <f>세금!Q176</f>
        <v>19900</v>
      </c>
      <c r="AC176" s="14">
        <v>0</v>
      </c>
      <c r="AD176" s="28">
        <f t="shared" si="11"/>
        <v>609220</v>
      </c>
      <c r="AE176" s="28">
        <f t="shared" si="12"/>
        <v>3840732</v>
      </c>
    </row>
    <row r="177" spans="1:31" x14ac:dyDescent="0.4">
      <c r="A177" s="23">
        <v>46143</v>
      </c>
      <c r="B177" s="17">
        <v>15</v>
      </c>
      <c r="C177" s="24" t="str">
        <f>직원정보!B19</f>
        <v>S0015</v>
      </c>
      <c r="D177" s="25" t="str">
        <f>직원정보!C19</f>
        <v>한결이</v>
      </c>
      <c r="E177" s="24" t="str">
        <f>직원정보!D19</f>
        <v>공사사업부</v>
      </c>
      <c r="F177" s="24" t="str">
        <f>직원정보!E19</f>
        <v>기사</v>
      </c>
      <c r="G177" s="14">
        <v>3200000</v>
      </c>
      <c r="H177" s="26">
        <f>ROUND(G177/요율기준!$B$14,0)</f>
        <v>15311</v>
      </c>
      <c r="I177" s="27">
        <v>25</v>
      </c>
      <c r="J177" s="27">
        <v>7</v>
      </c>
      <c r="K177" s="14">
        <v>260000</v>
      </c>
      <c r="L177" s="26">
        <f>ROUND(H177*요율기준!$B$15*I177,0)</f>
        <v>574163</v>
      </c>
      <c r="M177" s="26">
        <f>ROUND(H177*요율기준!$B$16*J177,0)</f>
        <v>53589</v>
      </c>
      <c r="N177" s="14">
        <v>0</v>
      </c>
      <c r="O177" s="14">
        <v>100000</v>
      </c>
      <c r="P177" s="14">
        <v>100000</v>
      </c>
      <c r="Q177" s="14">
        <v>100000</v>
      </c>
      <c r="R177" s="14">
        <v>200000</v>
      </c>
      <c r="S177" s="14">
        <v>0</v>
      </c>
      <c r="T177" s="28">
        <f t="shared" si="9"/>
        <v>4587752</v>
      </c>
      <c r="U177" s="26">
        <f>Q177+MIN(R177,요율기준!$B$17)+MIN(S177,요율기준!$B$18)</f>
        <v>300000</v>
      </c>
      <c r="V177" s="28">
        <f t="shared" si="10"/>
        <v>4287752</v>
      </c>
      <c r="W177" s="29">
        <f>'4대보험'!F177</f>
        <v>192940</v>
      </c>
      <c r="X177" s="29">
        <f>'4대보험'!H177</f>
        <v>152000</v>
      </c>
      <c r="Y177" s="29">
        <f>'4대보험'!J177</f>
        <v>19680</v>
      </c>
      <c r="Z177" s="29">
        <f>'4대보험'!L177</f>
        <v>38580</v>
      </c>
      <c r="AA177" s="29">
        <f>세금!P177</f>
        <v>216960</v>
      </c>
      <c r="AB177" s="29">
        <f>세금!Q177</f>
        <v>21690</v>
      </c>
      <c r="AC177" s="14">
        <v>0</v>
      </c>
      <c r="AD177" s="28">
        <f t="shared" si="11"/>
        <v>641850</v>
      </c>
      <c r="AE177" s="28">
        <f t="shared" si="12"/>
        <v>3945902</v>
      </c>
    </row>
    <row r="178" spans="1:31" x14ac:dyDescent="0.4">
      <c r="A178" s="23">
        <v>46174</v>
      </c>
      <c r="B178" s="17">
        <v>15</v>
      </c>
      <c r="C178" s="24" t="str">
        <f>직원정보!B19</f>
        <v>S0015</v>
      </c>
      <c r="D178" s="25" t="str">
        <f>직원정보!C19</f>
        <v>한결이</v>
      </c>
      <c r="E178" s="24" t="str">
        <f>직원정보!D19</f>
        <v>공사사업부</v>
      </c>
      <c r="F178" s="24" t="str">
        <f>직원정보!E19</f>
        <v>기사</v>
      </c>
      <c r="G178" s="14">
        <v>3200000</v>
      </c>
      <c r="H178" s="26">
        <f>ROUND(G178/요율기준!$B$14,0)</f>
        <v>15311</v>
      </c>
      <c r="I178" s="27">
        <v>30</v>
      </c>
      <c r="J178" s="27">
        <v>10</v>
      </c>
      <c r="K178" s="14">
        <v>260000</v>
      </c>
      <c r="L178" s="26">
        <f>ROUND(H178*요율기준!$B$15*I178,0)</f>
        <v>688995</v>
      </c>
      <c r="M178" s="26">
        <f>ROUND(H178*요율기준!$B$16*J178,0)</f>
        <v>76555</v>
      </c>
      <c r="N178" s="14">
        <v>0</v>
      </c>
      <c r="O178" s="14">
        <v>100000</v>
      </c>
      <c r="P178" s="14">
        <v>100000</v>
      </c>
      <c r="Q178" s="14">
        <v>100000</v>
      </c>
      <c r="R178" s="14">
        <v>200000</v>
      </c>
      <c r="S178" s="14">
        <v>0</v>
      </c>
      <c r="T178" s="28">
        <f t="shared" si="9"/>
        <v>4725550</v>
      </c>
      <c r="U178" s="26">
        <f>Q178+MIN(R178,요율기준!$B$17)+MIN(S178,요율기준!$B$18)</f>
        <v>300000</v>
      </c>
      <c r="V178" s="28">
        <f t="shared" si="10"/>
        <v>4425550</v>
      </c>
      <c r="W178" s="29">
        <f>'4대보험'!F178</f>
        <v>199140</v>
      </c>
      <c r="X178" s="29">
        <f>'4대보험'!H178</f>
        <v>156880</v>
      </c>
      <c r="Y178" s="29">
        <f>'4대보험'!J178</f>
        <v>20310</v>
      </c>
      <c r="Z178" s="29">
        <f>'4대보험'!L178</f>
        <v>39820</v>
      </c>
      <c r="AA178" s="29">
        <f>세금!P178</f>
        <v>234840</v>
      </c>
      <c r="AB178" s="29">
        <f>세금!Q178</f>
        <v>23480</v>
      </c>
      <c r="AC178" s="14">
        <v>0</v>
      </c>
      <c r="AD178" s="28">
        <f t="shared" si="11"/>
        <v>674470</v>
      </c>
      <c r="AE178" s="28">
        <f t="shared" si="12"/>
        <v>4051080</v>
      </c>
    </row>
    <row r="179" spans="1:31" x14ac:dyDescent="0.4">
      <c r="A179" s="23">
        <v>46204</v>
      </c>
      <c r="B179" s="17">
        <v>15</v>
      </c>
      <c r="C179" s="24" t="str">
        <f>직원정보!B19</f>
        <v>S0015</v>
      </c>
      <c r="D179" s="25" t="str">
        <f>직원정보!C19</f>
        <v>한결이</v>
      </c>
      <c r="E179" s="24" t="str">
        <f>직원정보!D19</f>
        <v>공사사업부</v>
      </c>
      <c r="F179" s="24" t="str">
        <f>직원정보!E19</f>
        <v>기사</v>
      </c>
      <c r="G179" s="14">
        <v>3200000</v>
      </c>
      <c r="H179" s="26">
        <f>ROUND(G179/요율기준!$B$14,0)</f>
        <v>15311</v>
      </c>
      <c r="I179" s="27">
        <v>10</v>
      </c>
      <c r="J179" s="27">
        <v>1</v>
      </c>
      <c r="K179" s="14">
        <v>260000</v>
      </c>
      <c r="L179" s="26">
        <f>ROUND(H179*요율기준!$B$15*I179,0)</f>
        <v>229665</v>
      </c>
      <c r="M179" s="26">
        <f>ROUND(H179*요율기준!$B$16*J179,0)</f>
        <v>7656</v>
      </c>
      <c r="N179" s="14">
        <v>0</v>
      </c>
      <c r="O179" s="14">
        <v>100000</v>
      </c>
      <c r="P179" s="14">
        <v>100000</v>
      </c>
      <c r="Q179" s="14">
        <v>100000</v>
      </c>
      <c r="R179" s="14">
        <v>200000</v>
      </c>
      <c r="S179" s="14">
        <v>0</v>
      </c>
      <c r="T179" s="28">
        <f t="shared" si="9"/>
        <v>4197321</v>
      </c>
      <c r="U179" s="26">
        <f>Q179+MIN(R179,요율기준!$B$17)+MIN(S179,요율기준!$B$18)</f>
        <v>300000</v>
      </c>
      <c r="V179" s="28">
        <f t="shared" si="10"/>
        <v>3897321</v>
      </c>
      <c r="W179" s="29">
        <f>'4대보험'!F179</f>
        <v>175370</v>
      </c>
      <c r="X179" s="29">
        <f>'4대보험'!H179</f>
        <v>138160</v>
      </c>
      <c r="Y179" s="29">
        <f>'4대보험'!J179</f>
        <v>17890</v>
      </c>
      <c r="Z179" s="29">
        <f>'4대보험'!L179</f>
        <v>35070</v>
      </c>
      <c r="AA179" s="29">
        <f>세금!P179</f>
        <v>166300</v>
      </c>
      <c r="AB179" s="29">
        <f>세금!Q179</f>
        <v>16630</v>
      </c>
      <c r="AC179" s="14">
        <v>0</v>
      </c>
      <c r="AD179" s="28">
        <f t="shared" si="11"/>
        <v>549420</v>
      </c>
      <c r="AE179" s="28">
        <f t="shared" si="12"/>
        <v>3647901</v>
      </c>
    </row>
    <row r="180" spans="1:31" x14ac:dyDescent="0.4">
      <c r="A180" s="23">
        <v>46235</v>
      </c>
      <c r="B180" s="17">
        <v>15</v>
      </c>
      <c r="C180" s="24" t="str">
        <f>직원정보!B19</f>
        <v>S0015</v>
      </c>
      <c r="D180" s="25" t="str">
        <f>직원정보!C19</f>
        <v>한결이</v>
      </c>
      <c r="E180" s="24" t="str">
        <f>직원정보!D19</f>
        <v>공사사업부</v>
      </c>
      <c r="F180" s="24" t="str">
        <f>직원정보!E19</f>
        <v>기사</v>
      </c>
      <c r="G180" s="14">
        <v>3200000</v>
      </c>
      <c r="H180" s="26">
        <f>ROUND(G180/요율기준!$B$14,0)</f>
        <v>15311</v>
      </c>
      <c r="I180" s="27">
        <v>15</v>
      </c>
      <c r="J180" s="27">
        <v>4</v>
      </c>
      <c r="K180" s="14">
        <v>260000</v>
      </c>
      <c r="L180" s="26">
        <f>ROUND(H180*요율기준!$B$15*I180,0)</f>
        <v>344498</v>
      </c>
      <c r="M180" s="26">
        <f>ROUND(H180*요율기준!$B$16*J180,0)</f>
        <v>30622</v>
      </c>
      <c r="N180" s="14">
        <v>0</v>
      </c>
      <c r="O180" s="14">
        <v>100000</v>
      </c>
      <c r="P180" s="14">
        <v>100000</v>
      </c>
      <c r="Q180" s="14">
        <v>100000</v>
      </c>
      <c r="R180" s="14">
        <v>200000</v>
      </c>
      <c r="S180" s="14">
        <v>0</v>
      </c>
      <c r="T180" s="28">
        <f t="shared" si="9"/>
        <v>4335120</v>
      </c>
      <c r="U180" s="26">
        <f>Q180+MIN(R180,요율기준!$B$17)+MIN(S180,요율기준!$B$18)</f>
        <v>300000</v>
      </c>
      <c r="V180" s="28">
        <f t="shared" si="10"/>
        <v>4035120</v>
      </c>
      <c r="W180" s="29">
        <f>'4대보험'!F180</f>
        <v>181580</v>
      </c>
      <c r="X180" s="29">
        <f>'4대보험'!H180</f>
        <v>143040</v>
      </c>
      <c r="Y180" s="29">
        <f>'4대보험'!J180</f>
        <v>18520</v>
      </c>
      <c r="Z180" s="29">
        <f>'4대보험'!L180</f>
        <v>36310</v>
      </c>
      <c r="AA180" s="29">
        <f>세금!P180</f>
        <v>184180</v>
      </c>
      <c r="AB180" s="29">
        <f>세금!Q180</f>
        <v>18410</v>
      </c>
      <c r="AC180" s="14">
        <v>0</v>
      </c>
      <c r="AD180" s="28">
        <f t="shared" si="11"/>
        <v>582040</v>
      </c>
      <c r="AE180" s="28">
        <f t="shared" si="12"/>
        <v>3753080</v>
      </c>
    </row>
    <row r="181" spans="1:31" x14ac:dyDescent="0.4">
      <c r="A181" s="23">
        <v>46266</v>
      </c>
      <c r="B181" s="17">
        <v>15</v>
      </c>
      <c r="C181" s="24" t="str">
        <f>직원정보!B19</f>
        <v>S0015</v>
      </c>
      <c r="D181" s="25" t="str">
        <f>직원정보!C19</f>
        <v>한결이</v>
      </c>
      <c r="E181" s="24" t="str">
        <f>직원정보!D19</f>
        <v>공사사업부</v>
      </c>
      <c r="F181" s="24" t="str">
        <f>직원정보!E19</f>
        <v>기사</v>
      </c>
      <c r="G181" s="14">
        <v>3200000</v>
      </c>
      <c r="H181" s="26">
        <f>ROUND(G181/요율기준!$B$14,0)</f>
        <v>15311</v>
      </c>
      <c r="I181" s="27">
        <v>20</v>
      </c>
      <c r="J181" s="27">
        <v>7</v>
      </c>
      <c r="K181" s="14">
        <v>260000</v>
      </c>
      <c r="L181" s="26">
        <f>ROUND(H181*요율기준!$B$15*I181,0)</f>
        <v>459330</v>
      </c>
      <c r="M181" s="26">
        <f>ROUND(H181*요율기준!$B$16*J181,0)</f>
        <v>53589</v>
      </c>
      <c r="N181" s="14">
        <v>0</v>
      </c>
      <c r="O181" s="14">
        <v>100000</v>
      </c>
      <c r="P181" s="14">
        <v>100000</v>
      </c>
      <c r="Q181" s="14">
        <v>100000</v>
      </c>
      <c r="R181" s="14">
        <v>200000</v>
      </c>
      <c r="S181" s="14">
        <v>0</v>
      </c>
      <c r="T181" s="28">
        <f t="shared" si="9"/>
        <v>4472919</v>
      </c>
      <c r="U181" s="26">
        <f>Q181+MIN(R181,요율기준!$B$17)+MIN(S181,요율기준!$B$18)</f>
        <v>300000</v>
      </c>
      <c r="V181" s="28">
        <f t="shared" si="10"/>
        <v>4172919</v>
      </c>
      <c r="W181" s="29">
        <f>'4대보험'!F181</f>
        <v>187780</v>
      </c>
      <c r="X181" s="29">
        <f>'4대보험'!H181</f>
        <v>147920</v>
      </c>
      <c r="Y181" s="29">
        <f>'4대보험'!J181</f>
        <v>19150</v>
      </c>
      <c r="Z181" s="29">
        <f>'4대보험'!L181</f>
        <v>37550</v>
      </c>
      <c r="AA181" s="29">
        <f>세금!P181</f>
        <v>202060</v>
      </c>
      <c r="AB181" s="29">
        <f>세금!Q181</f>
        <v>20200</v>
      </c>
      <c r="AC181" s="14">
        <v>0</v>
      </c>
      <c r="AD181" s="28">
        <f t="shared" si="11"/>
        <v>614660</v>
      </c>
      <c r="AE181" s="28">
        <f t="shared" si="12"/>
        <v>3858259</v>
      </c>
    </row>
    <row r="182" spans="1:31" x14ac:dyDescent="0.4">
      <c r="A182" s="23">
        <v>46296</v>
      </c>
      <c r="B182" s="17">
        <v>15</v>
      </c>
      <c r="C182" s="24" t="str">
        <f>직원정보!B19</f>
        <v>S0015</v>
      </c>
      <c r="D182" s="25" t="str">
        <f>직원정보!C19</f>
        <v>한결이</v>
      </c>
      <c r="E182" s="24" t="str">
        <f>직원정보!D19</f>
        <v>공사사업부</v>
      </c>
      <c r="F182" s="24" t="str">
        <f>직원정보!E19</f>
        <v>기사</v>
      </c>
      <c r="G182" s="14">
        <v>3200000</v>
      </c>
      <c r="H182" s="26">
        <f>ROUND(G182/요율기준!$B$14,0)</f>
        <v>15311</v>
      </c>
      <c r="I182" s="27">
        <v>25</v>
      </c>
      <c r="J182" s="27">
        <v>10</v>
      </c>
      <c r="K182" s="14">
        <v>260000</v>
      </c>
      <c r="L182" s="26">
        <f>ROUND(H182*요율기준!$B$15*I182,0)</f>
        <v>574163</v>
      </c>
      <c r="M182" s="26">
        <f>ROUND(H182*요율기준!$B$16*J182,0)</f>
        <v>76555</v>
      </c>
      <c r="N182" s="14">
        <v>0</v>
      </c>
      <c r="O182" s="14">
        <v>100000</v>
      </c>
      <c r="P182" s="14">
        <v>100000</v>
      </c>
      <c r="Q182" s="14">
        <v>100000</v>
      </c>
      <c r="R182" s="14">
        <v>200000</v>
      </c>
      <c r="S182" s="14">
        <v>0</v>
      </c>
      <c r="T182" s="28">
        <f t="shared" si="9"/>
        <v>4610718</v>
      </c>
      <c r="U182" s="26">
        <f>Q182+MIN(R182,요율기준!$B$17)+MIN(S182,요율기준!$B$18)</f>
        <v>300000</v>
      </c>
      <c r="V182" s="28">
        <f t="shared" si="10"/>
        <v>4310718</v>
      </c>
      <c r="W182" s="29">
        <f>'4대보험'!F182</f>
        <v>193980</v>
      </c>
      <c r="X182" s="29">
        <f>'4대보험'!H182</f>
        <v>152810</v>
      </c>
      <c r="Y182" s="29">
        <f>'4대보험'!J182</f>
        <v>19780</v>
      </c>
      <c r="Z182" s="29">
        <f>'4대보험'!L182</f>
        <v>38790</v>
      </c>
      <c r="AA182" s="29">
        <f>세금!P182</f>
        <v>219940</v>
      </c>
      <c r="AB182" s="29">
        <f>세금!Q182</f>
        <v>21990</v>
      </c>
      <c r="AC182" s="14">
        <v>0</v>
      </c>
      <c r="AD182" s="28">
        <f t="shared" si="11"/>
        <v>647290</v>
      </c>
      <c r="AE182" s="28">
        <f t="shared" si="12"/>
        <v>3963428</v>
      </c>
    </row>
    <row r="183" spans="1:31" x14ac:dyDescent="0.4">
      <c r="A183" s="23">
        <v>46327</v>
      </c>
      <c r="B183" s="17">
        <v>15</v>
      </c>
      <c r="C183" s="24" t="str">
        <f>직원정보!B19</f>
        <v>S0015</v>
      </c>
      <c r="D183" s="25" t="str">
        <f>직원정보!C19</f>
        <v>한결이</v>
      </c>
      <c r="E183" s="24" t="str">
        <f>직원정보!D19</f>
        <v>공사사업부</v>
      </c>
      <c r="F183" s="24" t="str">
        <f>직원정보!E19</f>
        <v>기사</v>
      </c>
      <c r="G183" s="14">
        <v>3200000</v>
      </c>
      <c r="H183" s="26">
        <f>ROUND(G183/요율기준!$B$14,0)</f>
        <v>15311</v>
      </c>
      <c r="I183" s="27">
        <v>30</v>
      </c>
      <c r="J183" s="27">
        <v>1</v>
      </c>
      <c r="K183" s="14">
        <v>260000</v>
      </c>
      <c r="L183" s="26">
        <f>ROUND(H183*요율기준!$B$15*I183,0)</f>
        <v>688995</v>
      </c>
      <c r="M183" s="26">
        <f>ROUND(H183*요율기준!$B$16*J183,0)</f>
        <v>7656</v>
      </c>
      <c r="N183" s="14">
        <v>0</v>
      </c>
      <c r="O183" s="14">
        <v>100000</v>
      </c>
      <c r="P183" s="14">
        <v>100000</v>
      </c>
      <c r="Q183" s="14">
        <v>100000</v>
      </c>
      <c r="R183" s="14">
        <v>200000</v>
      </c>
      <c r="S183" s="14">
        <v>0</v>
      </c>
      <c r="T183" s="28">
        <f t="shared" si="9"/>
        <v>4656651</v>
      </c>
      <c r="U183" s="26">
        <f>Q183+MIN(R183,요율기준!$B$17)+MIN(S183,요율기준!$B$18)</f>
        <v>300000</v>
      </c>
      <c r="V183" s="28">
        <f t="shared" si="10"/>
        <v>4356651</v>
      </c>
      <c r="W183" s="29">
        <f>'4대보험'!F183</f>
        <v>196040</v>
      </c>
      <c r="X183" s="29">
        <f>'4대보험'!H183</f>
        <v>154440</v>
      </c>
      <c r="Y183" s="29">
        <f>'4대보험'!J183</f>
        <v>19990</v>
      </c>
      <c r="Z183" s="29">
        <f>'4대보험'!L183</f>
        <v>39200</v>
      </c>
      <c r="AA183" s="29">
        <f>세금!P183</f>
        <v>225900</v>
      </c>
      <c r="AB183" s="29">
        <f>세금!Q183</f>
        <v>22590</v>
      </c>
      <c r="AC183" s="14">
        <v>0</v>
      </c>
      <c r="AD183" s="28">
        <f t="shared" si="11"/>
        <v>658160</v>
      </c>
      <c r="AE183" s="28">
        <f t="shared" si="12"/>
        <v>3998491</v>
      </c>
    </row>
    <row r="184" spans="1:31" x14ac:dyDescent="0.4">
      <c r="A184" s="23">
        <v>46357</v>
      </c>
      <c r="B184" s="17">
        <v>15</v>
      </c>
      <c r="C184" s="24" t="str">
        <f>직원정보!B19</f>
        <v>S0015</v>
      </c>
      <c r="D184" s="25" t="str">
        <f>직원정보!C19</f>
        <v>한결이</v>
      </c>
      <c r="E184" s="24" t="str">
        <f>직원정보!D19</f>
        <v>공사사업부</v>
      </c>
      <c r="F184" s="24" t="str">
        <f>직원정보!E19</f>
        <v>기사</v>
      </c>
      <c r="G184" s="14">
        <v>3200000</v>
      </c>
      <c r="H184" s="26">
        <f>ROUND(G184/요율기준!$B$14,0)</f>
        <v>15311</v>
      </c>
      <c r="I184" s="27">
        <v>10</v>
      </c>
      <c r="J184" s="27">
        <v>4</v>
      </c>
      <c r="K184" s="14">
        <v>260000</v>
      </c>
      <c r="L184" s="26">
        <f>ROUND(H184*요율기준!$B$15*I184,0)</f>
        <v>229665</v>
      </c>
      <c r="M184" s="26">
        <f>ROUND(H184*요율기준!$B$16*J184,0)</f>
        <v>30622</v>
      </c>
      <c r="N184" s="14">
        <v>0</v>
      </c>
      <c r="O184" s="14">
        <v>100000</v>
      </c>
      <c r="P184" s="14">
        <v>100000</v>
      </c>
      <c r="Q184" s="14">
        <v>100000</v>
      </c>
      <c r="R184" s="14">
        <v>200000</v>
      </c>
      <c r="S184" s="14">
        <v>0</v>
      </c>
      <c r="T184" s="28">
        <f t="shared" si="9"/>
        <v>4220287</v>
      </c>
      <c r="U184" s="26">
        <f>Q184+MIN(R184,요율기준!$B$17)+MIN(S184,요율기준!$B$18)</f>
        <v>300000</v>
      </c>
      <c r="V184" s="28">
        <f t="shared" si="10"/>
        <v>3920287</v>
      </c>
      <c r="W184" s="29">
        <f>'4대보험'!F184</f>
        <v>176410</v>
      </c>
      <c r="X184" s="29">
        <f>'4대보험'!H184</f>
        <v>138970</v>
      </c>
      <c r="Y184" s="29">
        <f>'4대보험'!J184</f>
        <v>17990</v>
      </c>
      <c r="Z184" s="29">
        <f>'4대보험'!L184</f>
        <v>35280</v>
      </c>
      <c r="AA184" s="29">
        <f>세금!P184</f>
        <v>169280</v>
      </c>
      <c r="AB184" s="29">
        <f>세금!Q184</f>
        <v>16920</v>
      </c>
      <c r="AC184" s="14">
        <v>0</v>
      </c>
      <c r="AD184" s="28">
        <f t="shared" si="11"/>
        <v>554850</v>
      </c>
      <c r="AE184" s="28">
        <f t="shared" si="12"/>
        <v>3665437</v>
      </c>
    </row>
    <row r="185" spans="1:31" x14ac:dyDescent="0.4">
      <c r="A185" s="23">
        <v>46023</v>
      </c>
      <c r="B185" s="17">
        <v>16</v>
      </c>
      <c r="C185" s="24" t="str">
        <f>직원정보!B20</f>
        <v>S0016</v>
      </c>
      <c r="D185" s="25" t="str">
        <f>직원정보!C20</f>
        <v>슬기론</v>
      </c>
      <c r="E185" s="24" t="str">
        <f>직원정보!D20</f>
        <v>공사사업부</v>
      </c>
      <c r="F185" s="24" t="str">
        <f>직원정보!E20</f>
        <v>기사</v>
      </c>
      <c r="G185" s="14">
        <v>3200000</v>
      </c>
      <c r="H185" s="26">
        <f>ROUND(G185/요율기준!$B$14,0)</f>
        <v>15311</v>
      </c>
      <c r="I185" s="27">
        <v>8</v>
      </c>
      <c r="J185" s="27">
        <v>9</v>
      </c>
      <c r="K185" s="14">
        <v>260000</v>
      </c>
      <c r="L185" s="26">
        <f>ROUND(H185*요율기준!$B$15*I185,0)</f>
        <v>183732</v>
      </c>
      <c r="M185" s="26">
        <f>ROUND(H185*요율기준!$B$16*J185,0)</f>
        <v>68900</v>
      </c>
      <c r="N185" s="14">
        <v>0</v>
      </c>
      <c r="O185" s="14">
        <v>100000</v>
      </c>
      <c r="P185" s="14">
        <v>100000</v>
      </c>
      <c r="Q185" s="14">
        <v>100000</v>
      </c>
      <c r="R185" s="14">
        <v>200000</v>
      </c>
      <c r="S185" s="14">
        <v>0</v>
      </c>
      <c r="T185" s="28">
        <f t="shared" si="9"/>
        <v>4212632</v>
      </c>
      <c r="U185" s="26">
        <f>Q185+MIN(R185,요율기준!$B$17)+MIN(S185,요율기준!$B$18)</f>
        <v>300000</v>
      </c>
      <c r="V185" s="28">
        <f t="shared" si="10"/>
        <v>3912632</v>
      </c>
      <c r="W185" s="29">
        <f>'4대보험'!F185</f>
        <v>176060</v>
      </c>
      <c r="X185" s="29">
        <f>'4대보험'!H185</f>
        <v>138700</v>
      </c>
      <c r="Y185" s="29">
        <f>'4대보험'!J185</f>
        <v>17960</v>
      </c>
      <c r="Z185" s="29">
        <f>'4대보험'!L185</f>
        <v>35210</v>
      </c>
      <c r="AA185" s="29">
        <f>세금!P185</f>
        <v>168290</v>
      </c>
      <c r="AB185" s="29">
        <f>세금!Q185</f>
        <v>16820</v>
      </c>
      <c r="AC185" s="14">
        <v>0</v>
      </c>
      <c r="AD185" s="28">
        <f t="shared" si="11"/>
        <v>553040</v>
      </c>
      <c r="AE185" s="28">
        <f t="shared" si="12"/>
        <v>3659592</v>
      </c>
    </row>
    <row r="186" spans="1:31" x14ac:dyDescent="0.4">
      <c r="A186" s="23">
        <v>46054</v>
      </c>
      <c r="B186" s="17">
        <v>16</v>
      </c>
      <c r="C186" s="24" t="str">
        <f>직원정보!B20</f>
        <v>S0016</v>
      </c>
      <c r="D186" s="25" t="str">
        <f>직원정보!C20</f>
        <v>슬기론</v>
      </c>
      <c r="E186" s="24" t="str">
        <f>직원정보!D20</f>
        <v>공사사업부</v>
      </c>
      <c r="F186" s="24" t="str">
        <f>직원정보!E20</f>
        <v>기사</v>
      </c>
      <c r="G186" s="14">
        <v>3200000</v>
      </c>
      <c r="H186" s="26">
        <f>ROUND(G186/요율기준!$B$14,0)</f>
        <v>15311</v>
      </c>
      <c r="I186" s="27">
        <v>13</v>
      </c>
      <c r="J186" s="27">
        <v>0</v>
      </c>
      <c r="K186" s="14">
        <v>260000</v>
      </c>
      <c r="L186" s="26">
        <f>ROUND(H186*요율기준!$B$15*I186,0)</f>
        <v>298565</v>
      </c>
      <c r="M186" s="26">
        <f>ROUND(H186*요율기준!$B$16*J186,0)</f>
        <v>0</v>
      </c>
      <c r="N186" s="14">
        <v>0</v>
      </c>
      <c r="O186" s="14">
        <v>100000</v>
      </c>
      <c r="P186" s="14">
        <v>100000</v>
      </c>
      <c r="Q186" s="14">
        <v>100000</v>
      </c>
      <c r="R186" s="14">
        <v>200000</v>
      </c>
      <c r="S186" s="14">
        <v>0</v>
      </c>
      <c r="T186" s="28">
        <f t="shared" si="9"/>
        <v>4258565</v>
      </c>
      <c r="U186" s="26">
        <f>Q186+MIN(R186,요율기준!$B$17)+MIN(S186,요율기준!$B$18)</f>
        <v>300000</v>
      </c>
      <c r="V186" s="28">
        <f t="shared" si="10"/>
        <v>3958565</v>
      </c>
      <c r="W186" s="29">
        <f>'4대보험'!F186</f>
        <v>178130</v>
      </c>
      <c r="X186" s="29">
        <f>'4대보험'!H186</f>
        <v>140330</v>
      </c>
      <c r="Y186" s="29">
        <f>'4대보험'!J186</f>
        <v>18170</v>
      </c>
      <c r="Z186" s="29">
        <f>'4대보험'!L186</f>
        <v>35620</v>
      </c>
      <c r="AA186" s="29">
        <f>세금!P186</f>
        <v>174240</v>
      </c>
      <c r="AB186" s="29">
        <f>세금!Q186</f>
        <v>17420</v>
      </c>
      <c r="AC186" s="14">
        <v>0</v>
      </c>
      <c r="AD186" s="28">
        <f t="shared" si="11"/>
        <v>563910</v>
      </c>
      <c r="AE186" s="28">
        <f t="shared" si="12"/>
        <v>3694655</v>
      </c>
    </row>
    <row r="187" spans="1:31" x14ac:dyDescent="0.4">
      <c r="A187" s="23">
        <v>46082</v>
      </c>
      <c r="B187" s="17">
        <v>16</v>
      </c>
      <c r="C187" s="24" t="str">
        <f>직원정보!B20</f>
        <v>S0016</v>
      </c>
      <c r="D187" s="25" t="str">
        <f>직원정보!C20</f>
        <v>슬기론</v>
      </c>
      <c r="E187" s="24" t="str">
        <f>직원정보!D20</f>
        <v>공사사업부</v>
      </c>
      <c r="F187" s="24" t="str">
        <f>직원정보!E20</f>
        <v>기사</v>
      </c>
      <c r="G187" s="14">
        <v>3200000</v>
      </c>
      <c r="H187" s="26">
        <f>ROUND(G187/요율기준!$B$14,0)</f>
        <v>15311</v>
      </c>
      <c r="I187" s="27">
        <v>18</v>
      </c>
      <c r="J187" s="27">
        <v>3</v>
      </c>
      <c r="K187" s="14">
        <v>260000</v>
      </c>
      <c r="L187" s="26">
        <f>ROUND(H187*요율기준!$B$15*I187,0)</f>
        <v>413397</v>
      </c>
      <c r="M187" s="26">
        <f>ROUND(H187*요율기준!$B$16*J187,0)</f>
        <v>22967</v>
      </c>
      <c r="N187" s="14">
        <v>0</v>
      </c>
      <c r="O187" s="14">
        <v>100000</v>
      </c>
      <c r="P187" s="14">
        <v>100000</v>
      </c>
      <c r="Q187" s="14">
        <v>100000</v>
      </c>
      <c r="R187" s="14">
        <v>200000</v>
      </c>
      <c r="S187" s="14">
        <v>0</v>
      </c>
      <c r="T187" s="28">
        <f t="shared" si="9"/>
        <v>4396364</v>
      </c>
      <c r="U187" s="26">
        <f>Q187+MIN(R187,요율기준!$B$17)+MIN(S187,요율기준!$B$18)</f>
        <v>300000</v>
      </c>
      <c r="V187" s="28">
        <f t="shared" si="10"/>
        <v>4096364</v>
      </c>
      <c r="W187" s="29">
        <f>'4대보험'!F187</f>
        <v>184330</v>
      </c>
      <c r="X187" s="29">
        <f>'4대보험'!H187</f>
        <v>145210</v>
      </c>
      <c r="Y187" s="29">
        <f>'4대보험'!J187</f>
        <v>18800</v>
      </c>
      <c r="Z187" s="29">
        <f>'4대보험'!L187</f>
        <v>36860</v>
      </c>
      <c r="AA187" s="29">
        <f>세금!P187</f>
        <v>192120</v>
      </c>
      <c r="AB187" s="29">
        <f>세금!Q187</f>
        <v>19210</v>
      </c>
      <c r="AC187" s="14">
        <v>0</v>
      </c>
      <c r="AD187" s="28">
        <f t="shared" si="11"/>
        <v>596530</v>
      </c>
      <c r="AE187" s="28">
        <f t="shared" si="12"/>
        <v>3799834</v>
      </c>
    </row>
    <row r="188" spans="1:31" x14ac:dyDescent="0.4">
      <c r="A188" s="23">
        <v>46113</v>
      </c>
      <c r="B188" s="17">
        <v>16</v>
      </c>
      <c r="C188" s="24" t="str">
        <f>직원정보!B20</f>
        <v>S0016</v>
      </c>
      <c r="D188" s="25" t="str">
        <f>직원정보!C20</f>
        <v>슬기론</v>
      </c>
      <c r="E188" s="24" t="str">
        <f>직원정보!D20</f>
        <v>공사사업부</v>
      </c>
      <c r="F188" s="24" t="str">
        <f>직원정보!E20</f>
        <v>기사</v>
      </c>
      <c r="G188" s="14">
        <v>3200000</v>
      </c>
      <c r="H188" s="26">
        <f>ROUND(G188/요율기준!$B$14,0)</f>
        <v>15311</v>
      </c>
      <c r="I188" s="27">
        <v>23</v>
      </c>
      <c r="J188" s="27">
        <v>6</v>
      </c>
      <c r="K188" s="14">
        <v>260000</v>
      </c>
      <c r="L188" s="26">
        <f>ROUND(H188*요율기준!$B$15*I188,0)</f>
        <v>528230</v>
      </c>
      <c r="M188" s="26">
        <f>ROUND(H188*요율기준!$B$16*J188,0)</f>
        <v>45933</v>
      </c>
      <c r="N188" s="14">
        <v>0</v>
      </c>
      <c r="O188" s="14">
        <v>100000</v>
      </c>
      <c r="P188" s="14">
        <v>100000</v>
      </c>
      <c r="Q188" s="14">
        <v>100000</v>
      </c>
      <c r="R188" s="14">
        <v>200000</v>
      </c>
      <c r="S188" s="14">
        <v>0</v>
      </c>
      <c r="T188" s="28">
        <f t="shared" si="9"/>
        <v>4534163</v>
      </c>
      <c r="U188" s="26">
        <f>Q188+MIN(R188,요율기준!$B$17)+MIN(S188,요율기준!$B$18)</f>
        <v>300000</v>
      </c>
      <c r="V188" s="28">
        <f t="shared" si="10"/>
        <v>4234163</v>
      </c>
      <c r="W188" s="29">
        <f>'4대보험'!F188</f>
        <v>190530</v>
      </c>
      <c r="X188" s="29">
        <f>'4대보험'!H188</f>
        <v>150100</v>
      </c>
      <c r="Y188" s="29">
        <f>'4대보험'!J188</f>
        <v>19430</v>
      </c>
      <c r="Z188" s="29">
        <f>'4대보험'!L188</f>
        <v>38100</v>
      </c>
      <c r="AA188" s="29">
        <f>세금!P188</f>
        <v>210000</v>
      </c>
      <c r="AB188" s="29">
        <f>세금!Q188</f>
        <v>21000</v>
      </c>
      <c r="AC188" s="14">
        <v>0</v>
      </c>
      <c r="AD188" s="28">
        <f t="shared" si="11"/>
        <v>629160</v>
      </c>
      <c r="AE188" s="28">
        <f t="shared" si="12"/>
        <v>3905003</v>
      </c>
    </row>
    <row r="189" spans="1:31" x14ac:dyDescent="0.4">
      <c r="A189" s="23">
        <v>46143</v>
      </c>
      <c r="B189" s="17">
        <v>16</v>
      </c>
      <c r="C189" s="24" t="str">
        <f>직원정보!B20</f>
        <v>S0016</v>
      </c>
      <c r="D189" s="25" t="str">
        <f>직원정보!C20</f>
        <v>슬기론</v>
      </c>
      <c r="E189" s="24" t="str">
        <f>직원정보!D20</f>
        <v>공사사업부</v>
      </c>
      <c r="F189" s="24" t="str">
        <f>직원정보!E20</f>
        <v>기사</v>
      </c>
      <c r="G189" s="14">
        <v>3200000</v>
      </c>
      <c r="H189" s="26">
        <f>ROUND(G189/요율기준!$B$14,0)</f>
        <v>15311</v>
      </c>
      <c r="I189" s="27">
        <v>28</v>
      </c>
      <c r="J189" s="27">
        <v>9</v>
      </c>
      <c r="K189" s="14">
        <v>260000</v>
      </c>
      <c r="L189" s="26">
        <f>ROUND(H189*요율기준!$B$15*I189,0)</f>
        <v>643062</v>
      </c>
      <c r="M189" s="26">
        <f>ROUND(H189*요율기준!$B$16*J189,0)</f>
        <v>68900</v>
      </c>
      <c r="N189" s="14">
        <v>0</v>
      </c>
      <c r="O189" s="14">
        <v>100000</v>
      </c>
      <c r="P189" s="14">
        <v>100000</v>
      </c>
      <c r="Q189" s="14">
        <v>100000</v>
      </c>
      <c r="R189" s="14">
        <v>200000</v>
      </c>
      <c r="S189" s="14">
        <v>0</v>
      </c>
      <c r="T189" s="28">
        <f t="shared" si="9"/>
        <v>4671962</v>
      </c>
      <c r="U189" s="26">
        <f>Q189+MIN(R189,요율기준!$B$17)+MIN(S189,요율기준!$B$18)</f>
        <v>300000</v>
      </c>
      <c r="V189" s="28">
        <f t="shared" si="10"/>
        <v>4371962</v>
      </c>
      <c r="W189" s="29">
        <f>'4대보험'!F189</f>
        <v>196730</v>
      </c>
      <c r="X189" s="29">
        <f>'4대보험'!H189</f>
        <v>154980</v>
      </c>
      <c r="Y189" s="29">
        <f>'4대보험'!J189</f>
        <v>20060</v>
      </c>
      <c r="Z189" s="29">
        <f>'4대보험'!L189</f>
        <v>39340</v>
      </c>
      <c r="AA189" s="29">
        <f>세금!P189</f>
        <v>227880</v>
      </c>
      <c r="AB189" s="29">
        <f>세금!Q189</f>
        <v>22780</v>
      </c>
      <c r="AC189" s="14">
        <v>0</v>
      </c>
      <c r="AD189" s="28">
        <f t="shared" si="11"/>
        <v>661770</v>
      </c>
      <c r="AE189" s="28">
        <f t="shared" si="12"/>
        <v>4010192</v>
      </c>
    </row>
    <row r="190" spans="1:31" x14ac:dyDescent="0.4">
      <c r="A190" s="23">
        <v>46174</v>
      </c>
      <c r="B190" s="17">
        <v>16</v>
      </c>
      <c r="C190" s="24" t="str">
        <f>직원정보!B20</f>
        <v>S0016</v>
      </c>
      <c r="D190" s="25" t="str">
        <f>직원정보!C20</f>
        <v>슬기론</v>
      </c>
      <c r="E190" s="24" t="str">
        <f>직원정보!D20</f>
        <v>공사사업부</v>
      </c>
      <c r="F190" s="24" t="str">
        <f>직원정보!E20</f>
        <v>기사</v>
      </c>
      <c r="G190" s="14">
        <v>3200000</v>
      </c>
      <c r="H190" s="26">
        <f>ROUND(G190/요율기준!$B$14,0)</f>
        <v>15311</v>
      </c>
      <c r="I190" s="27">
        <v>8</v>
      </c>
      <c r="J190" s="27">
        <v>0</v>
      </c>
      <c r="K190" s="14">
        <v>260000</v>
      </c>
      <c r="L190" s="26">
        <f>ROUND(H190*요율기준!$B$15*I190,0)</f>
        <v>183732</v>
      </c>
      <c r="M190" s="26">
        <f>ROUND(H190*요율기준!$B$16*J190,0)</f>
        <v>0</v>
      </c>
      <c r="N190" s="14">
        <v>0</v>
      </c>
      <c r="O190" s="14">
        <v>100000</v>
      </c>
      <c r="P190" s="14">
        <v>100000</v>
      </c>
      <c r="Q190" s="14">
        <v>100000</v>
      </c>
      <c r="R190" s="14">
        <v>200000</v>
      </c>
      <c r="S190" s="14">
        <v>0</v>
      </c>
      <c r="T190" s="28">
        <f t="shared" si="9"/>
        <v>4143732</v>
      </c>
      <c r="U190" s="26">
        <f>Q190+MIN(R190,요율기준!$B$17)+MIN(S190,요율기준!$B$18)</f>
        <v>300000</v>
      </c>
      <c r="V190" s="28">
        <f t="shared" si="10"/>
        <v>3843732</v>
      </c>
      <c r="W190" s="29">
        <f>'4대보험'!F190</f>
        <v>172960</v>
      </c>
      <c r="X190" s="29">
        <f>'4대보험'!H190</f>
        <v>136260</v>
      </c>
      <c r="Y190" s="29">
        <f>'4대보험'!J190</f>
        <v>17640</v>
      </c>
      <c r="Z190" s="29">
        <f>'4대보험'!L190</f>
        <v>34590</v>
      </c>
      <c r="AA190" s="29">
        <f>세금!P190</f>
        <v>159350</v>
      </c>
      <c r="AB190" s="29">
        <f>세금!Q190</f>
        <v>15930</v>
      </c>
      <c r="AC190" s="14">
        <v>0</v>
      </c>
      <c r="AD190" s="28">
        <f t="shared" si="11"/>
        <v>536730</v>
      </c>
      <c r="AE190" s="28">
        <f t="shared" si="12"/>
        <v>3607002</v>
      </c>
    </row>
    <row r="191" spans="1:31" x14ac:dyDescent="0.4">
      <c r="A191" s="23">
        <v>46204</v>
      </c>
      <c r="B191" s="17">
        <v>16</v>
      </c>
      <c r="C191" s="24" t="str">
        <f>직원정보!B20</f>
        <v>S0016</v>
      </c>
      <c r="D191" s="25" t="str">
        <f>직원정보!C20</f>
        <v>슬기론</v>
      </c>
      <c r="E191" s="24" t="str">
        <f>직원정보!D20</f>
        <v>공사사업부</v>
      </c>
      <c r="F191" s="24" t="str">
        <f>직원정보!E20</f>
        <v>기사</v>
      </c>
      <c r="G191" s="14">
        <v>3200000</v>
      </c>
      <c r="H191" s="26">
        <f>ROUND(G191/요율기준!$B$14,0)</f>
        <v>15311</v>
      </c>
      <c r="I191" s="27">
        <v>13</v>
      </c>
      <c r="J191" s="27">
        <v>3</v>
      </c>
      <c r="K191" s="14">
        <v>260000</v>
      </c>
      <c r="L191" s="26">
        <f>ROUND(H191*요율기준!$B$15*I191,0)</f>
        <v>298565</v>
      </c>
      <c r="M191" s="26">
        <f>ROUND(H191*요율기준!$B$16*J191,0)</f>
        <v>22967</v>
      </c>
      <c r="N191" s="14">
        <v>0</v>
      </c>
      <c r="O191" s="14">
        <v>100000</v>
      </c>
      <c r="P191" s="14">
        <v>100000</v>
      </c>
      <c r="Q191" s="14">
        <v>100000</v>
      </c>
      <c r="R191" s="14">
        <v>200000</v>
      </c>
      <c r="S191" s="14">
        <v>0</v>
      </c>
      <c r="T191" s="28">
        <f t="shared" si="9"/>
        <v>4281532</v>
      </c>
      <c r="U191" s="26">
        <f>Q191+MIN(R191,요율기준!$B$17)+MIN(S191,요율기준!$B$18)</f>
        <v>300000</v>
      </c>
      <c r="V191" s="28">
        <f t="shared" si="10"/>
        <v>3981532</v>
      </c>
      <c r="W191" s="29">
        <f>'4대보험'!F191</f>
        <v>179160</v>
      </c>
      <c r="X191" s="29">
        <f>'4대보험'!H191</f>
        <v>141140</v>
      </c>
      <c r="Y191" s="29">
        <f>'4대보험'!J191</f>
        <v>18270</v>
      </c>
      <c r="Z191" s="29">
        <f>'4대보험'!L191</f>
        <v>35830</v>
      </c>
      <c r="AA191" s="29">
        <f>세금!P191</f>
        <v>177230</v>
      </c>
      <c r="AB191" s="29">
        <f>세금!Q191</f>
        <v>17720</v>
      </c>
      <c r="AC191" s="14">
        <v>0</v>
      </c>
      <c r="AD191" s="28">
        <f t="shared" si="11"/>
        <v>569350</v>
      </c>
      <c r="AE191" s="28">
        <f t="shared" si="12"/>
        <v>3712182</v>
      </c>
    </row>
    <row r="192" spans="1:31" x14ac:dyDescent="0.4">
      <c r="A192" s="23">
        <v>46235</v>
      </c>
      <c r="B192" s="17">
        <v>16</v>
      </c>
      <c r="C192" s="24" t="str">
        <f>직원정보!B20</f>
        <v>S0016</v>
      </c>
      <c r="D192" s="25" t="str">
        <f>직원정보!C20</f>
        <v>슬기론</v>
      </c>
      <c r="E192" s="24" t="str">
        <f>직원정보!D20</f>
        <v>공사사업부</v>
      </c>
      <c r="F192" s="24" t="str">
        <f>직원정보!E20</f>
        <v>기사</v>
      </c>
      <c r="G192" s="14">
        <v>3200000</v>
      </c>
      <c r="H192" s="26">
        <f>ROUND(G192/요율기준!$B$14,0)</f>
        <v>15311</v>
      </c>
      <c r="I192" s="27">
        <v>18</v>
      </c>
      <c r="J192" s="27">
        <v>6</v>
      </c>
      <c r="K192" s="14">
        <v>260000</v>
      </c>
      <c r="L192" s="26">
        <f>ROUND(H192*요율기준!$B$15*I192,0)</f>
        <v>413397</v>
      </c>
      <c r="M192" s="26">
        <f>ROUND(H192*요율기준!$B$16*J192,0)</f>
        <v>45933</v>
      </c>
      <c r="N192" s="14">
        <v>0</v>
      </c>
      <c r="O192" s="14">
        <v>100000</v>
      </c>
      <c r="P192" s="14">
        <v>100000</v>
      </c>
      <c r="Q192" s="14">
        <v>100000</v>
      </c>
      <c r="R192" s="14">
        <v>200000</v>
      </c>
      <c r="S192" s="14">
        <v>0</v>
      </c>
      <c r="T192" s="28">
        <f t="shared" si="9"/>
        <v>4419330</v>
      </c>
      <c r="U192" s="26">
        <f>Q192+MIN(R192,요율기준!$B$17)+MIN(S192,요율기준!$B$18)</f>
        <v>300000</v>
      </c>
      <c r="V192" s="28">
        <f t="shared" si="10"/>
        <v>4119330</v>
      </c>
      <c r="W192" s="29">
        <f>'4대보험'!F192</f>
        <v>185360</v>
      </c>
      <c r="X192" s="29">
        <f>'4대보험'!H192</f>
        <v>146030</v>
      </c>
      <c r="Y192" s="29">
        <f>'4대보험'!J192</f>
        <v>18910</v>
      </c>
      <c r="Z192" s="29">
        <f>'4대보험'!L192</f>
        <v>37070</v>
      </c>
      <c r="AA192" s="29">
        <f>세금!P192</f>
        <v>195100</v>
      </c>
      <c r="AB192" s="29">
        <f>세금!Q192</f>
        <v>19510</v>
      </c>
      <c r="AC192" s="14">
        <v>0</v>
      </c>
      <c r="AD192" s="28">
        <f t="shared" si="11"/>
        <v>601980</v>
      </c>
      <c r="AE192" s="28">
        <f t="shared" si="12"/>
        <v>3817350</v>
      </c>
    </row>
    <row r="193" spans="1:31" x14ac:dyDescent="0.4">
      <c r="A193" s="23">
        <v>46266</v>
      </c>
      <c r="B193" s="17">
        <v>16</v>
      </c>
      <c r="C193" s="24" t="str">
        <f>직원정보!B20</f>
        <v>S0016</v>
      </c>
      <c r="D193" s="25" t="str">
        <f>직원정보!C20</f>
        <v>슬기론</v>
      </c>
      <c r="E193" s="24" t="str">
        <f>직원정보!D20</f>
        <v>공사사업부</v>
      </c>
      <c r="F193" s="24" t="str">
        <f>직원정보!E20</f>
        <v>기사</v>
      </c>
      <c r="G193" s="14">
        <v>3200000</v>
      </c>
      <c r="H193" s="26">
        <f>ROUND(G193/요율기준!$B$14,0)</f>
        <v>15311</v>
      </c>
      <c r="I193" s="27">
        <v>23</v>
      </c>
      <c r="J193" s="27">
        <v>9</v>
      </c>
      <c r="K193" s="14">
        <v>260000</v>
      </c>
      <c r="L193" s="26">
        <f>ROUND(H193*요율기준!$B$15*I193,0)</f>
        <v>528230</v>
      </c>
      <c r="M193" s="26">
        <f>ROUND(H193*요율기준!$B$16*J193,0)</f>
        <v>68900</v>
      </c>
      <c r="N193" s="14">
        <v>0</v>
      </c>
      <c r="O193" s="14">
        <v>100000</v>
      </c>
      <c r="P193" s="14">
        <v>100000</v>
      </c>
      <c r="Q193" s="14">
        <v>100000</v>
      </c>
      <c r="R193" s="14">
        <v>200000</v>
      </c>
      <c r="S193" s="14">
        <v>0</v>
      </c>
      <c r="T193" s="28">
        <f t="shared" si="9"/>
        <v>4557130</v>
      </c>
      <c r="U193" s="26">
        <f>Q193+MIN(R193,요율기준!$B$17)+MIN(S193,요율기준!$B$18)</f>
        <v>300000</v>
      </c>
      <c r="V193" s="28">
        <f t="shared" si="10"/>
        <v>4257130</v>
      </c>
      <c r="W193" s="29">
        <f>'4대보험'!F193</f>
        <v>191570</v>
      </c>
      <c r="X193" s="29">
        <f>'4대보험'!H193</f>
        <v>150910</v>
      </c>
      <c r="Y193" s="29">
        <f>'4대보험'!J193</f>
        <v>19540</v>
      </c>
      <c r="Z193" s="29">
        <f>'4대보험'!L193</f>
        <v>38310</v>
      </c>
      <c r="AA193" s="29">
        <f>세금!P193</f>
        <v>212980</v>
      </c>
      <c r="AB193" s="29">
        <f>세금!Q193</f>
        <v>21290</v>
      </c>
      <c r="AC193" s="14">
        <v>0</v>
      </c>
      <c r="AD193" s="28">
        <f t="shared" si="11"/>
        <v>634600</v>
      </c>
      <c r="AE193" s="28">
        <f t="shared" si="12"/>
        <v>3922530</v>
      </c>
    </row>
    <row r="194" spans="1:31" x14ac:dyDescent="0.4">
      <c r="A194" s="23">
        <v>46296</v>
      </c>
      <c r="B194" s="17">
        <v>16</v>
      </c>
      <c r="C194" s="24" t="str">
        <f>직원정보!B20</f>
        <v>S0016</v>
      </c>
      <c r="D194" s="25" t="str">
        <f>직원정보!C20</f>
        <v>슬기론</v>
      </c>
      <c r="E194" s="24" t="str">
        <f>직원정보!D20</f>
        <v>공사사업부</v>
      </c>
      <c r="F194" s="24" t="str">
        <f>직원정보!E20</f>
        <v>기사</v>
      </c>
      <c r="G194" s="14">
        <v>3200000</v>
      </c>
      <c r="H194" s="26">
        <f>ROUND(G194/요율기준!$B$14,0)</f>
        <v>15311</v>
      </c>
      <c r="I194" s="27">
        <v>28</v>
      </c>
      <c r="J194" s="27">
        <v>0</v>
      </c>
      <c r="K194" s="14">
        <v>260000</v>
      </c>
      <c r="L194" s="26">
        <f>ROUND(H194*요율기준!$B$15*I194,0)</f>
        <v>643062</v>
      </c>
      <c r="M194" s="26">
        <f>ROUND(H194*요율기준!$B$16*J194,0)</f>
        <v>0</v>
      </c>
      <c r="N194" s="14">
        <v>0</v>
      </c>
      <c r="O194" s="14">
        <v>100000</v>
      </c>
      <c r="P194" s="14">
        <v>100000</v>
      </c>
      <c r="Q194" s="14">
        <v>100000</v>
      </c>
      <c r="R194" s="14">
        <v>200000</v>
      </c>
      <c r="S194" s="14">
        <v>0</v>
      </c>
      <c r="T194" s="28">
        <f t="shared" si="9"/>
        <v>4603062</v>
      </c>
      <c r="U194" s="26">
        <f>Q194+MIN(R194,요율기준!$B$17)+MIN(S194,요율기준!$B$18)</f>
        <v>300000</v>
      </c>
      <c r="V194" s="28">
        <f t="shared" si="10"/>
        <v>4303062</v>
      </c>
      <c r="W194" s="29">
        <f>'4대보험'!F194</f>
        <v>193630</v>
      </c>
      <c r="X194" s="29">
        <f>'4대보험'!H194</f>
        <v>152540</v>
      </c>
      <c r="Y194" s="29">
        <f>'4대보험'!J194</f>
        <v>19750</v>
      </c>
      <c r="Z194" s="29">
        <f>'4대보험'!L194</f>
        <v>38720</v>
      </c>
      <c r="AA194" s="29">
        <f>세금!P194</f>
        <v>218940</v>
      </c>
      <c r="AB194" s="29">
        <f>세금!Q194</f>
        <v>21890</v>
      </c>
      <c r="AC194" s="14">
        <v>0</v>
      </c>
      <c r="AD194" s="28">
        <f t="shared" si="11"/>
        <v>645470</v>
      </c>
      <c r="AE194" s="28">
        <f t="shared" si="12"/>
        <v>3957592</v>
      </c>
    </row>
    <row r="195" spans="1:31" x14ac:dyDescent="0.4">
      <c r="A195" s="23">
        <v>46327</v>
      </c>
      <c r="B195" s="17">
        <v>16</v>
      </c>
      <c r="C195" s="24" t="str">
        <f>직원정보!B20</f>
        <v>S0016</v>
      </c>
      <c r="D195" s="25" t="str">
        <f>직원정보!C20</f>
        <v>슬기론</v>
      </c>
      <c r="E195" s="24" t="str">
        <f>직원정보!D20</f>
        <v>공사사업부</v>
      </c>
      <c r="F195" s="24" t="str">
        <f>직원정보!E20</f>
        <v>기사</v>
      </c>
      <c r="G195" s="14">
        <v>3200000</v>
      </c>
      <c r="H195" s="26">
        <f>ROUND(G195/요율기준!$B$14,0)</f>
        <v>15311</v>
      </c>
      <c r="I195" s="27">
        <v>8</v>
      </c>
      <c r="J195" s="27">
        <v>3</v>
      </c>
      <c r="K195" s="14">
        <v>260000</v>
      </c>
      <c r="L195" s="26">
        <f>ROUND(H195*요율기준!$B$15*I195,0)</f>
        <v>183732</v>
      </c>
      <c r="M195" s="26">
        <f>ROUND(H195*요율기준!$B$16*J195,0)</f>
        <v>22967</v>
      </c>
      <c r="N195" s="14">
        <v>0</v>
      </c>
      <c r="O195" s="14">
        <v>100000</v>
      </c>
      <c r="P195" s="14">
        <v>100000</v>
      </c>
      <c r="Q195" s="14">
        <v>100000</v>
      </c>
      <c r="R195" s="14">
        <v>200000</v>
      </c>
      <c r="S195" s="14">
        <v>0</v>
      </c>
      <c r="T195" s="28">
        <f t="shared" si="9"/>
        <v>4166699</v>
      </c>
      <c r="U195" s="26">
        <f>Q195+MIN(R195,요율기준!$B$17)+MIN(S195,요율기준!$B$18)</f>
        <v>300000</v>
      </c>
      <c r="V195" s="28">
        <f t="shared" si="10"/>
        <v>3866699</v>
      </c>
      <c r="W195" s="29">
        <f>'4대보험'!F195</f>
        <v>174000</v>
      </c>
      <c r="X195" s="29">
        <f>'4대보험'!H195</f>
        <v>137070</v>
      </c>
      <c r="Y195" s="29">
        <f>'4대보험'!J195</f>
        <v>17750</v>
      </c>
      <c r="Z195" s="29">
        <f>'4대보험'!L195</f>
        <v>34800</v>
      </c>
      <c r="AA195" s="29">
        <f>세금!P195</f>
        <v>162320</v>
      </c>
      <c r="AB195" s="29">
        <f>세금!Q195</f>
        <v>16230</v>
      </c>
      <c r="AC195" s="14">
        <v>0</v>
      </c>
      <c r="AD195" s="28">
        <f t="shared" si="11"/>
        <v>542170</v>
      </c>
      <c r="AE195" s="28">
        <f t="shared" si="12"/>
        <v>3624529</v>
      </c>
    </row>
    <row r="196" spans="1:31" x14ac:dyDescent="0.4">
      <c r="A196" s="23">
        <v>46357</v>
      </c>
      <c r="B196" s="17">
        <v>16</v>
      </c>
      <c r="C196" s="24" t="str">
        <f>직원정보!B20</f>
        <v>S0016</v>
      </c>
      <c r="D196" s="25" t="str">
        <f>직원정보!C20</f>
        <v>슬기론</v>
      </c>
      <c r="E196" s="24" t="str">
        <f>직원정보!D20</f>
        <v>공사사업부</v>
      </c>
      <c r="F196" s="24" t="str">
        <f>직원정보!E20</f>
        <v>기사</v>
      </c>
      <c r="G196" s="14">
        <v>3200000</v>
      </c>
      <c r="H196" s="26">
        <f>ROUND(G196/요율기준!$B$14,0)</f>
        <v>15311</v>
      </c>
      <c r="I196" s="27">
        <v>13</v>
      </c>
      <c r="J196" s="27">
        <v>6</v>
      </c>
      <c r="K196" s="14">
        <v>260000</v>
      </c>
      <c r="L196" s="26">
        <f>ROUND(H196*요율기준!$B$15*I196,0)</f>
        <v>298565</v>
      </c>
      <c r="M196" s="26">
        <f>ROUND(H196*요율기준!$B$16*J196,0)</f>
        <v>45933</v>
      </c>
      <c r="N196" s="14">
        <v>0</v>
      </c>
      <c r="O196" s="14">
        <v>100000</v>
      </c>
      <c r="P196" s="14">
        <v>100000</v>
      </c>
      <c r="Q196" s="14">
        <v>100000</v>
      </c>
      <c r="R196" s="14">
        <v>200000</v>
      </c>
      <c r="S196" s="14">
        <v>0</v>
      </c>
      <c r="T196" s="28">
        <f t="shared" si="9"/>
        <v>4304498</v>
      </c>
      <c r="U196" s="26">
        <f>Q196+MIN(R196,요율기준!$B$17)+MIN(S196,요율기준!$B$18)</f>
        <v>300000</v>
      </c>
      <c r="V196" s="28">
        <f t="shared" si="10"/>
        <v>4004498</v>
      </c>
      <c r="W196" s="29">
        <f>'4대보험'!F196</f>
        <v>180200</v>
      </c>
      <c r="X196" s="29">
        <f>'4대보험'!H196</f>
        <v>141950</v>
      </c>
      <c r="Y196" s="29">
        <f>'4대보험'!J196</f>
        <v>18380</v>
      </c>
      <c r="Z196" s="29">
        <f>'4대보험'!L196</f>
        <v>36040</v>
      </c>
      <c r="AA196" s="29">
        <f>세금!P196</f>
        <v>180200</v>
      </c>
      <c r="AB196" s="29">
        <f>세금!Q196</f>
        <v>18020</v>
      </c>
      <c r="AC196" s="14">
        <v>0</v>
      </c>
      <c r="AD196" s="28">
        <f t="shared" si="11"/>
        <v>574790</v>
      </c>
      <c r="AE196" s="28">
        <f t="shared" si="12"/>
        <v>3729708</v>
      </c>
    </row>
    <row r="197" spans="1:31" x14ac:dyDescent="0.4">
      <c r="A197" s="23">
        <v>46023</v>
      </c>
      <c r="B197" s="17">
        <v>17</v>
      </c>
      <c r="C197" s="24" t="str">
        <f>직원정보!B21</f>
        <v>S0017</v>
      </c>
      <c r="D197" s="25" t="str">
        <f>직원정보!C21</f>
        <v>빛나라</v>
      </c>
      <c r="E197" s="24" t="str">
        <f>직원정보!D21</f>
        <v>기업부설연구소</v>
      </c>
      <c r="F197" s="24" t="str">
        <f>직원정보!E21</f>
        <v>연구원</v>
      </c>
      <c r="G197" s="14">
        <v>2900000</v>
      </c>
      <c r="H197" s="26">
        <f>ROUND(G197/요율기준!$B$14,0)</f>
        <v>13876</v>
      </c>
      <c r="I197" s="27">
        <v>0</v>
      </c>
      <c r="J197" s="27">
        <v>0</v>
      </c>
      <c r="K197" s="14">
        <v>240000</v>
      </c>
      <c r="L197" s="26">
        <f>ROUND(H197*요율기준!$B$15*I197,0)</f>
        <v>0</v>
      </c>
      <c r="M197" s="26">
        <f>ROUND(H197*요율기준!$B$16*J197,0)</f>
        <v>0</v>
      </c>
      <c r="N197" s="14">
        <v>0</v>
      </c>
      <c r="O197" s="14">
        <v>100000</v>
      </c>
      <c r="P197" s="14">
        <v>0</v>
      </c>
      <c r="Q197" s="14">
        <v>100000</v>
      </c>
      <c r="R197" s="14">
        <v>200000</v>
      </c>
      <c r="S197" s="14">
        <v>0</v>
      </c>
      <c r="T197" s="28">
        <f t="shared" ref="T197:T260" si="13">G197+K197+L197+M197+N197+O197+P197+Q197+R197+S197</f>
        <v>3540000</v>
      </c>
      <c r="U197" s="26">
        <f>Q197+MIN(R197,요율기준!$B$17)+MIN(S197,요율기준!$B$18)</f>
        <v>300000</v>
      </c>
      <c r="V197" s="28">
        <f t="shared" ref="V197:V260" si="14">T197-U197</f>
        <v>3240000</v>
      </c>
      <c r="W197" s="29">
        <f>'4대보험'!F197</f>
        <v>145800</v>
      </c>
      <c r="X197" s="29">
        <f>'4대보험'!H197</f>
        <v>114850</v>
      </c>
      <c r="Y197" s="29">
        <f>'4대보험'!J197</f>
        <v>14870</v>
      </c>
      <c r="Z197" s="29">
        <f>'4대보험'!L197</f>
        <v>29160</v>
      </c>
      <c r="AA197" s="29">
        <f>세금!P197</f>
        <v>85910</v>
      </c>
      <c r="AB197" s="29">
        <f>세금!Q197</f>
        <v>8590</v>
      </c>
      <c r="AC197" s="14">
        <v>0</v>
      </c>
      <c r="AD197" s="28">
        <f t="shared" ref="AD197:AD260" si="15">SUM(W197:AC197)</f>
        <v>399180</v>
      </c>
      <c r="AE197" s="28">
        <f t="shared" ref="AE197:AE260" si="16">T197-AD197</f>
        <v>3140820</v>
      </c>
    </row>
    <row r="198" spans="1:31" x14ac:dyDescent="0.4">
      <c r="A198" s="23">
        <v>46054</v>
      </c>
      <c r="B198" s="17">
        <v>17</v>
      </c>
      <c r="C198" s="24" t="str">
        <f>직원정보!B21</f>
        <v>S0017</v>
      </c>
      <c r="D198" s="25" t="str">
        <f>직원정보!C21</f>
        <v>빛나라</v>
      </c>
      <c r="E198" s="24" t="str">
        <f>직원정보!D21</f>
        <v>기업부설연구소</v>
      </c>
      <c r="F198" s="24" t="str">
        <f>직원정보!E21</f>
        <v>연구원</v>
      </c>
      <c r="G198" s="14">
        <v>2900000</v>
      </c>
      <c r="H198" s="26">
        <f>ROUND(G198/요율기준!$B$14,0)</f>
        <v>13876</v>
      </c>
      <c r="I198" s="27">
        <v>4</v>
      </c>
      <c r="J198" s="27">
        <v>0</v>
      </c>
      <c r="K198" s="14">
        <v>240000</v>
      </c>
      <c r="L198" s="26">
        <f>ROUND(H198*요율기준!$B$15*I198,0)</f>
        <v>83256</v>
      </c>
      <c r="M198" s="26">
        <f>ROUND(H198*요율기준!$B$16*J198,0)</f>
        <v>0</v>
      </c>
      <c r="N198" s="14">
        <v>0</v>
      </c>
      <c r="O198" s="14">
        <v>100000</v>
      </c>
      <c r="P198" s="14">
        <v>0</v>
      </c>
      <c r="Q198" s="14">
        <v>100000</v>
      </c>
      <c r="R198" s="14">
        <v>200000</v>
      </c>
      <c r="S198" s="14">
        <v>0</v>
      </c>
      <c r="T198" s="28">
        <f t="shared" si="13"/>
        <v>3623256</v>
      </c>
      <c r="U198" s="26">
        <f>Q198+MIN(R198,요율기준!$B$17)+MIN(S198,요율기준!$B$18)</f>
        <v>300000</v>
      </c>
      <c r="V198" s="28">
        <f t="shared" si="14"/>
        <v>3323256</v>
      </c>
      <c r="W198" s="29">
        <f>'4대보험'!F198</f>
        <v>149540</v>
      </c>
      <c r="X198" s="29">
        <f>'4대보험'!H198</f>
        <v>117800</v>
      </c>
      <c r="Y198" s="29">
        <f>'4대보험'!J198</f>
        <v>15250</v>
      </c>
      <c r="Z198" s="29">
        <f>'4대보험'!L198</f>
        <v>29900</v>
      </c>
      <c r="AA198" s="29">
        <f>세금!P198</f>
        <v>96130</v>
      </c>
      <c r="AB198" s="29">
        <f>세금!Q198</f>
        <v>9610</v>
      </c>
      <c r="AC198" s="14">
        <v>0</v>
      </c>
      <c r="AD198" s="28">
        <f t="shared" si="15"/>
        <v>418230</v>
      </c>
      <c r="AE198" s="28">
        <f t="shared" si="16"/>
        <v>3205026</v>
      </c>
    </row>
    <row r="199" spans="1:31" x14ac:dyDescent="0.4">
      <c r="A199" s="23">
        <v>46082</v>
      </c>
      <c r="B199" s="17">
        <v>17</v>
      </c>
      <c r="C199" s="24" t="str">
        <f>직원정보!B21</f>
        <v>S0017</v>
      </c>
      <c r="D199" s="25" t="str">
        <f>직원정보!C21</f>
        <v>빛나라</v>
      </c>
      <c r="E199" s="24" t="str">
        <f>직원정보!D21</f>
        <v>기업부설연구소</v>
      </c>
      <c r="F199" s="24" t="str">
        <f>직원정보!E21</f>
        <v>연구원</v>
      </c>
      <c r="G199" s="14">
        <v>2900000</v>
      </c>
      <c r="H199" s="26">
        <f>ROUND(G199/요율기준!$B$14,0)</f>
        <v>13876</v>
      </c>
      <c r="I199" s="27">
        <v>0</v>
      </c>
      <c r="J199" s="27">
        <v>0</v>
      </c>
      <c r="K199" s="14">
        <v>240000</v>
      </c>
      <c r="L199" s="26">
        <f>ROUND(H199*요율기준!$B$15*I199,0)</f>
        <v>0</v>
      </c>
      <c r="M199" s="26">
        <f>ROUND(H199*요율기준!$B$16*J199,0)</f>
        <v>0</v>
      </c>
      <c r="N199" s="14">
        <v>0</v>
      </c>
      <c r="O199" s="14">
        <v>100000</v>
      </c>
      <c r="P199" s="14">
        <v>0</v>
      </c>
      <c r="Q199" s="14">
        <v>100000</v>
      </c>
      <c r="R199" s="14">
        <v>200000</v>
      </c>
      <c r="S199" s="14">
        <v>0</v>
      </c>
      <c r="T199" s="28">
        <f t="shared" si="13"/>
        <v>3540000</v>
      </c>
      <c r="U199" s="26">
        <f>Q199+MIN(R199,요율기준!$B$17)+MIN(S199,요율기준!$B$18)</f>
        <v>300000</v>
      </c>
      <c r="V199" s="28">
        <f t="shared" si="14"/>
        <v>3240000</v>
      </c>
      <c r="W199" s="29">
        <f>'4대보험'!F199</f>
        <v>145800</v>
      </c>
      <c r="X199" s="29">
        <f>'4대보험'!H199</f>
        <v>114850</v>
      </c>
      <c r="Y199" s="29">
        <f>'4대보험'!J199</f>
        <v>14870</v>
      </c>
      <c r="Z199" s="29">
        <f>'4대보험'!L199</f>
        <v>29160</v>
      </c>
      <c r="AA199" s="29">
        <f>세금!P199</f>
        <v>85910</v>
      </c>
      <c r="AB199" s="29">
        <f>세금!Q199</f>
        <v>8590</v>
      </c>
      <c r="AC199" s="14">
        <v>0</v>
      </c>
      <c r="AD199" s="28">
        <f t="shared" si="15"/>
        <v>399180</v>
      </c>
      <c r="AE199" s="28">
        <f t="shared" si="16"/>
        <v>3140820</v>
      </c>
    </row>
    <row r="200" spans="1:31" x14ac:dyDescent="0.4">
      <c r="A200" s="23">
        <v>46113</v>
      </c>
      <c r="B200" s="17">
        <v>17</v>
      </c>
      <c r="C200" s="24" t="str">
        <f>직원정보!B21</f>
        <v>S0017</v>
      </c>
      <c r="D200" s="25" t="str">
        <f>직원정보!C21</f>
        <v>빛나라</v>
      </c>
      <c r="E200" s="24" t="str">
        <f>직원정보!D21</f>
        <v>기업부설연구소</v>
      </c>
      <c r="F200" s="24" t="str">
        <f>직원정보!E21</f>
        <v>연구원</v>
      </c>
      <c r="G200" s="14">
        <v>2900000</v>
      </c>
      <c r="H200" s="26">
        <f>ROUND(G200/요율기준!$B$14,0)</f>
        <v>13876</v>
      </c>
      <c r="I200" s="27">
        <v>4</v>
      </c>
      <c r="J200" s="27">
        <v>0</v>
      </c>
      <c r="K200" s="14">
        <v>240000</v>
      </c>
      <c r="L200" s="26">
        <f>ROUND(H200*요율기준!$B$15*I200,0)</f>
        <v>83256</v>
      </c>
      <c r="M200" s="26">
        <f>ROUND(H200*요율기준!$B$16*J200,0)</f>
        <v>0</v>
      </c>
      <c r="N200" s="14">
        <v>0</v>
      </c>
      <c r="O200" s="14">
        <v>100000</v>
      </c>
      <c r="P200" s="14">
        <v>0</v>
      </c>
      <c r="Q200" s="14">
        <v>100000</v>
      </c>
      <c r="R200" s="14">
        <v>200000</v>
      </c>
      <c r="S200" s="14">
        <v>0</v>
      </c>
      <c r="T200" s="28">
        <f t="shared" si="13"/>
        <v>3623256</v>
      </c>
      <c r="U200" s="26">
        <f>Q200+MIN(R200,요율기준!$B$17)+MIN(S200,요율기준!$B$18)</f>
        <v>300000</v>
      </c>
      <c r="V200" s="28">
        <f t="shared" si="14"/>
        <v>3323256</v>
      </c>
      <c r="W200" s="29">
        <f>'4대보험'!F200</f>
        <v>149540</v>
      </c>
      <c r="X200" s="29">
        <f>'4대보험'!H200</f>
        <v>117800</v>
      </c>
      <c r="Y200" s="29">
        <f>'4대보험'!J200</f>
        <v>15250</v>
      </c>
      <c r="Z200" s="29">
        <f>'4대보험'!L200</f>
        <v>29900</v>
      </c>
      <c r="AA200" s="29">
        <f>세금!P200</f>
        <v>96130</v>
      </c>
      <c r="AB200" s="29">
        <f>세금!Q200</f>
        <v>9610</v>
      </c>
      <c r="AC200" s="14">
        <v>0</v>
      </c>
      <c r="AD200" s="28">
        <f t="shared" si="15"/>
        <v>418230</v>
      </c>
      <c r="AE200" s="28">
        <f t="shared" si="16"/>
        <v>3205026</v>
      </c>
    </row>
    <row r="201" spans="1:31" x14ac:dyDescent="0.4">
      <c r="A201" s="23">
        <v>46143</v>
      </c>
      <c r="B201" s="17">
        <v>17</v>
      </c>
      <c r="C201" s="24" t="str">
        <f>직원정보!B21</f>
        <v>S0017</v>
      </c>
      <c r="D201" s="25" t="str">
        <f>직원정보!C21</f>
        <v>빛나라</v>
      </c>
      <c r="E201" s="24" t="str">
        <f>직원정보!D21</f>
        <v>기업부설연구소</v>
      </c>
      <c r="F201" s="24" t="str">
        <f>직원정보!E21</f>
        <v>연구원</v>
      </c>
      <c r="G201" s="14">
        <v>2900000</v>
      </c>
      <c r="H201" s="26">
        <f>ROUND(G201/요율기준!$B$14,0)</f>
        <v>13876</v>
      </c>
      <c r="I201" s="27">
        <v>0</v>
      </c>
      <c r="J201" s="27">
        <v>0</v>
      </c>
      <c r="K201" s="14">
        <v>240000</v>
      </c>
      <c r="L201" s="26">
        <f>ROUND(H201*요율기준!$B$15*I201,0)</f>
        <v>0</v>
      </c>
      <c r="M201" s="26">
        <f>ROUND(H201*요율기준!$B$16*J201,0)</f>
        <v>0</v>
      </c>
      <c r="N201" s="14">
        <v>0</v>
      </c>
      <c r="O201" s="14">
        <v>100000</v>
      </c>
      <c r="P201" s="14">
        <v>0</v>
      </c>
      <c r="Q201" s="14">
        <v>100000</v>
      </c>
      <c r="R201" s="14">
        <v>200000</v>
      </c>
      <c r="S201" s="14">
        <v>0</v>
      </c>
      <c r="T201" s="28">
        <f t="shared" si="13"/>
        <v>3540000</v>
      </c>
      <c r="U201" s="26">
        <f>Q201+MIN(R201,요율기준!$B$17)+MIN(S201,요율기준!$B$18)</f>
        <v>300000</v>
      </c>
      <c r="V201" s="28">
        <f t="shared" si="14"/>
        <v>3240000</v>
      </c>
      <c r="W201" s="29">
        <f>'4대보험'!F201</f>
        <v>145800</v>
      </c>
      <c r="X201" s="29">
        <f>'4대보험'!H201</f>
        <v>114850</v>
      </c>
      <c r="Y201" s="29">
        <f>'4대보험'!J201</f>
        <v>14870</v>
      </c>
      <c r="Z201" s="29">
        <f>'4대보험'!L201</f>
        <v>29160</v>
      </c>
      <c r="AA201" s="29">
        <f>세금!P201</f>
        <v>85910</v>
      </c>
      <c r="AB201" s="29">
        <f>세금!Q201</f>
        <v>8590</v>
      </c>
      <c r="AC201" s="14">
        <v>0</v>
      </c>
      <c r="AD201" s="28">
        <f t="shared" si="15"/>
        <v>399180</v>
      </c>
      <c r="AE201" s="28">
        <f t="shared" si="16"/>
        <v>3140820</v>
      </c>
    </row>
    <row r="202" spans="1:31" x14ac:dyDescent="0.4">
      <c r="A202" s="23">
        <v>46174</v>
      </c>
      <c r="B202" s="17">
        <v>17</v>
      </c>
      <c r="C202" s="24" t="str">
        <f>직원정보!B21</f>
        <v>S0017</v>
      </c>
      <c r="D202" s="25" t="str">
        <f>직원정보!C21</f>
        <v>빛나라</v>
      </c>
      <c r="E202" s="24" t="str">
        <f>직원정보!D21</f>
        <v>기업부설연구소</v>
      </c>
      <c r="F202" s="24" t="str">
        <f>직원정보!E21</f>
        <v>연구원</v>
      </c>
      <c r="G202" s="14">
        <v>2900000</v>
      </c>
      <c r="H202" s="26">
        <f>ROUND(G202/요율기준!$B$14,0)</f>
        <v>13876</v>
      </c>
      <c r="I202" s="27">
        <v>4</v>
      </c>
      <c r="J202" s="27">
        <v>0</v>
      </c>
      <c r="K202" s="14">
        <v>240000</v>
      </c>
      <c r="L202" s="26">
        <f>ROUND(H202*요율기준!$B$15*I202,0)</f>
        <v>83256</v>
      </c>
      <c r="M202" s="26">
        <f>ROUND(H202*요율기준!$B$16*J202,0)</f>
        <v>0</v>
      </c>
      <c r="N202" s="14">
        <v>0</v>
      </c>
      <c r="O202" s="14">
        <v>100000</v>
      </c>
      <c r="P202" s="14">
        <v>0</v>
      </c>
      <c r="Q202" s="14">
        <v>100000</v>
      </c>
      <c r="R202" s="14">
        <v>200000</v>
      </c>
      <c r="S202" s="14">
        <v>0</v>
      </c>
      <c r="T202" s="28">
        <f t="shared" si="13"/>
        <v>3623256</v>
      </c>
      <c r="U202" s="26">
        <f>Q202+MIN(R202,요율기준!$B$17)+MIN(S202,요율기준!$B$18)</f>
        <v>300000</v>
      </c>
      <c r="V202" s="28">
        <f t="shared" si="14"/>
        <v>3323256</v>
      </c>
      <c r="W202" s="29">
        <f>'4대보험'!F202</f>
        <v>149540</v>
      </c>
      <c r="X202" s="29">
        <f>'4대보험'!H202</f>
        <v>117800</v>
      </c>
      <c r="Y202" s="29">
        <f>'4대보험'!J202</f>
        <v>15250</v>
      </c>
      <c r="Z202" s="29">
        <f>'4대보험'!L202</f>
        <v>29900</v>
      </c>
      <c r="AA202" s="29">
        <f>세금!P202</f>
        <v>96130</v>
      </c>
      <c r="AB202" s="29">
        <f>세금!Q202</f>
        <v>9610</v>
      </c>
      <c r="AC202" s="14">
        <v>0</v>
      </c>
      <c r="AD202" s="28">
        <f t="shared" si="15"/>
        <v>418230</v>
      </c>
      <c r="AE202" s="28">
        <f t="shared" si="16"/>
        <v>3205026</v>
      </c>
    </row>
    <row r="203" spans="1:31" x14ac:dyDescent="0.4">
      <c r="A203" s="23">
        <v>46204</v>
      </c>
      <c r="B203" s="17">
        <v>17</v>
      </c>
      <c r="C203" s="24" t="str">
        <f>직원정보!B21</f>
        <v>S0017</v>
      </c>
      <c r="D203" s="25" t="str">
        <f>직원정보!C21</f>
        <v>빛나라</v>
      </c>
      <c r="E203" s="24" t="str">
        <f>직원정보!D21</f>
        <v>기업부설연구소</v>
      </c>
      <c r="F203" s="24" t="str">
        <f>직원정보!E21</f>
        <v>연구원</v>
      </c>
      <c r="G203" s="14">
        <v>2900000</v>
      </c>
      <c r="H203" s="26">
        <f>ROUND(G203/요율기준!$B$14,0)</f>
        <v>13876</v>
      </c>
      <c r="I203" s="27">
        <v>0</v>
      </c>
      <c r="J203" s="27">
        <v>0</v>
      </c>
      <c r="K203" s="14">
        <v>240000</v>
      </c>
      <c r="L203" s="26">
        <f>ROUND(H203*요율기준!$B$15*I203,0)</f>
        <v>0</v>
      </c>
      <c r="M203" s="26">
        <f>ROUND(H203*요율기준!$B$16*J203,0)</f>
        <v>0</v>
      </c>
      <c r="N203" s="14">
        <v>0</v>
      </c>
      <c r="O203" s="14">
        <v>100000</v>
      </c>
      <c r="P203" s="14">
        <v>0</v>
      </c>
      <c r="Q203" s="14">
        <v>100000</v>
      </c>
      <c r="R203" s="14">
        <v>200000</v>
      </c>
      <c r="S203" s="14">
        <v>0</v>
      </c>
      <c r="T203" s="28">
        <f t="shared" si="13"/>
        <v>3540000</v>
      </c>
      <c r="U203" s="26">
        <f>Q203+MIN(R203,요율기준!$B$17)+MIN(S203,요율기준!$B$18)</f>
        <v>300000</v>
      </c>
      <c r="V203" s="28">
        <f t="shared" si="14"/>
        <v>3240000</v>
      </c>
      <c r="W203" s="29">
        <f>'4대보험'!F203</f>
        <v>145800</v>
      </c>
      <c r="X203" s="29">
        <f>'4대보험'!H203</f>
        <v>114850</v>
      </c>
      <c r="Y203" s="29">
        <f>'4대보험'!J203</f>
        <v>14870</v>
      </c>
      <c r="Z203" s="29">
        <f>'4대보험'!L203</f>
        <v>29160</v>
      </c>
      <c r="AA203" s="29">
        <f>세금!P203</f>
        <v>85910</v>
      </c>
      <c r="AB203" s="29">
        <f>세금!Q203</f>
        <v>8590</v>
      </c>
      <c r="AC203" s="14">
        <v>0</v>
      </c>
      <c r="AD203" s="28">
        <f t="shared" si="15"/>
        <v>399180</v>
      </c>
      <c r="AE203" s="28">
        <f t="shared" si="16"/>
        <v>3140820</v>
      </c>
    </row>
    <row r="204" spans="1:31" x14ac:dyDescent="0.4">
      <c r="A204" s="23">
        <v>46235</v>
      </c>
      <c r="B204" s="17">
        <v>17</v>
      </c>
      <c r="C204" s="24" t="str">
        <f>직원정보!B21</f>
        <v>S0017</v>
      </c>
      <c r="D204" s="25" t="str">
        <f>직원정보!C21</f>
        <v>빛나라</v>
      </c>
      <c r="E204" s="24" t="str">
        <f>직원정보!D21</f>
        <v>기업부설연구소</v>
      </c>
      <c r="F204" s="24" t="str">
        <f>직원정보!E21</f>
        <v>연구원</v>
      </c>
      <c r="G204" s="14">
        <v>2900000</v>
      </c>
      <c r="H204" s="26">
        <f>ROUND(G204/요율기준!$B$14,0)</f>
        <v>13876</v>
      </c>
      <c r="I204" s="27">
        <v>4</v>
      </c>
      <c r="J204" s="27">
        <v>0</v>
      </c>
      <c r="K204" s="14">
        <v>240000</v>
      </c>
      <c r="L204" s="26">
        <f>ROUND(H204*요율기준!$B$15*I204,0)</f>
        <v>83256</v>
      </c>
      <c r="M204" s="26">
        <f>ROUND(H204*요율기준!$B$16*J204,0)</f>
        <v>0</v>
      </c>
      <c r="N204" s="14">
        <v>0</v>
      </c>
      <c r="O204" s="14">
        <v>100000</v>
      </c>
      <c r="P204" s="14">
        <v>0</v>
      </c>
      <c r="Q204" s="14">
        <v>100000</v>
      </c>
      <c r="R204" s="14">
        <v>200000</v>
      </c>
      <c r="S204" s="14">
        <v>0</v>
      </c>
      <c r="T204" s="28">
        <f t="shared" si="13"/>
        <v>3623256</v>
      </c>
      <c r="U204" s="26">
        <f>Q204+MIN(R204,요율기준!$B$17)+MIN(S204,요율기준!$B$18)</f>
        <v>300000</v>
      </c>
      <c r="V204" s="28">
        <f t="shared" si="14"/>
        <v>3323256</v>
      </c>
      <c r="W204" s="29">
        <f>'4대보험'!F204</f>
        <v>149540</v>
      </c>
      <c r="X204" s="29">
        <f>'4대보험'!H204</f>
        <v>117800</v>
      </c>
      <c r="Y204" s="29">
        <f>'4대보험'!J204</f>
        <v>15250</v>
      </c>
      <c r="Z204" s="29">
        <f>'4대보험'!L204</f>
        <v>29900</v>
      </c>
      <c r="AA204" s="29">
        <f>세금!P204</f>
        <v>96130</v>
      </c>
      <c r="AB204" s="29">
        <f>세금!Q204</f>
        <v>9610</v>
      </c>
      <c r="AC204" s="14">
        <v>0</v>
      </c>
      <c r="AD204" s="28">
        <f t="shared" si="15"/>
        <v>418230</v>
      </c>
      <c r="AE204" s="28">
        <f t="shared" si="16"/>
        <v>3205026</v>
      </c>
    </row>
    <row r="205" spans="1:31" x14ac:dyDescent="0.4">
      <c r="A205" s="23">
        <v>46266</v>
      </c>
      <c r="B205" s="17">
        <v>17</v>
      </c>
      <c r="C205" s="24" t="str">
        <f>직원정보!B21</f>
        <v>S0017</v>
      </c>
      <c r="D205" s="25" t="str">
        <f>직원정보!C21</f>
        <v>빛나라</v>
      </c>
      <c r="E205" s="24" t="str">
        <f>직원정보!D21</f>
        <v>기업부설연구소</v>
      </c>
      <c r="F205" s="24" t="str">
        <f>직원정보!E21</f>
        <v>연구원</v>
      </c>
      <c r="G205" s="14">
        <v>2900000</v>
      </c>
      <c r="H205" s="26">
        <f>ROUND(G205/요율기준!$B$14,0)</f>
        <v>13876</v>
      </c>
      <c r="I205" s="27">
        <v>0</v>
      </c>
      <c r="J205" s="27">
        <v>0</v>
      </c>
      <c r="K205" s="14">
        <v>240000</v>
      </c>
      <c r="L205" s="26">
        <f>ROUND(H205*요율기준!$B$15*I205,0)</f>
        <v>0</v>
      </c>
      <c r="M205" s="26">
        <f>ROUND(H205*요율기준!$B$16*J205,0)</f>
        <v>0</v>
      </c>
      <c r="N205" s="14">
        <v>0</v>
      </c>
      <c r="O205" s="14">
        <v>100000</v>
      </c>
      <c r="P205" s="14">
        <v>0</v>
      </c>
      <c r="Q205" s="14">
        <v>100000</v>
      </c>
      <c r="R205" s="14">
        <v>200000</v>
      </c>
      <c r="S205" s="14">
        <v>0</v>
      </c>
      <c r="T205" s="28">
        <f t="shared" si="13"/>
        <v>3540000</v>
      </c>
      <c r="U205" s="26">
        <f>Q205+MIN(R205,요율기준!$B$17)+MIN(S205,요율기준!$B$18)</f>
        <v>300000</v>
      </c>
      <c r="V205" s="28">
        <f t="shared" si="14"/>
        <v>3240000</v>
      </c>
      <c r="W205" s="29">
        <f>'4대보험'!F205</f>
        <v>145800</v>
      </c>
      <c r="X205" s="29">
        <f>'4대보험'!H205</f>
        <v>114850</v>
      </c>
      <c r="Y205" s="29">
        <f>'4대보험'!J205</f>
        <v>14870</v>
      </c>
      <c r="Z205" s="29">
        <f>'4대보험'!L205</f>
        <v>29160</v>
      </c>
      <c r="AA205" s="29">
        <f>세금!P205</f>
        <v>85910</v>
      </c>
      <c r="AB205" s="29">
        <f>세금!Q205</f>
        <v>8590</v>
      </c>
      <c r="AC205" s="14">
        <v>0</v>
      </c>
      <c r="AD205" s="28">
        <f t="shared" si="15"/>
        <v>399180</v>
      </c>
      <c r="AE205" s="28">
        <f t="shared" si="16"/>
        <v>3140820</v>
      </c>
    </row>
    <row r="206" spans="1:31" x14ac:dyDescent="0.4">
      <c r="A206" s="23">
        <v>46296</v>
      </c>
      <c r="B206" s="17">
        <v>17</v>
      </c>
      <c r="C206" s="24" t="str">
        <f>직원정보!B21</f>
        <v>S0017</v>
      </c>
      <c r="D206" s="25" t="str">
        <f>직원정보!C21</f>
        <v>빛나라</v>
      </c>
      <c r="E206" s="24" t="str">
        <f>직원정보!D21</f>
        <v>기업부설연구소</v>
      </c>
      <c r="F206" s="24" t="str">
        <f>직원정보!E21</f>
        <v>연구원</v>
      </c>
      <c r="G206" s="14">
        <v>2900000</v>
      </c>
      <c r="H206" s="26">
        <f>ROUND(G206/요율기준!$B$14,0)</f>
        <v>13876</v>
      </c>
      <c r="I206" s="27">
        <v>4</v>
      </c>
      <c r="J206" s="27">
        <v>0</v>
      </c>
      <c r="K206" s="14">
        <v>240000</v>
      </c>
      <c r="L206" s="26">
        <f>ROUND(H206*요율기준!$B$15*I206,0)</f>
        <v>83256</v>
      </c>
      <c r="M206" s="26">
        <f>ROUND(H206*요율기준!$B$16*J206,0)</f>
        <v>0</v>
      </c>
      <c r="N206" s="14">
        <v>0</v>
      </c>
      <c r="O206" s="14">
        <v>100000</v>
      </c>
      <c r="P206" s="14">
        <v>0</v>
      </c>
      <c r="Q206" s="14">
        <v>100000</v>
      </c>
      <c r="R206" s="14">
        <v>200000</v>
      </c>
      <c r="S206" s="14">
        <v>0</v>
      </c>
      <c r="T206" s="28">
        <f t="shared" si="13"/>
        <v>3623256</v>
      </c>
      <c r="U206" s="26">
        <f>Q206+MIN(R206,요율기준!$B$17)+MIN(S206,요율기준!$B$18)</f>
        <v>300000</v>
      </c>
      <c r="V206" s="28">
        <f t="shared" si="14"/>
        <v>3323256</v>
      </c>
      <c r="W206" s="29">
        <f>'4대보험'!F206</f>
        <v>149540</v>
      </c>
      <c r="X206" s="29">
        <f>'4대보험'!H206</f>
        <v>117800</v>
      </c>
      <c r="Y206" s="29">
        <f>'4대보험'!J206</f>
        <v>15250</v>
      </c>
      <c r="Z206" s="29">
        <f>'4대보험'!L206</f>
        <v>29900</v>
      </c>
      <c r="AA206" s="29">
        <f>세금!P206</f>
        <v>96130</v>
      </c>
      <c r="AB206" s="29">
        <f>세금!Q206</f>
        <v>9610</v>
      </c>
      <c r="AC206" s="14">
        <v>0</v>
      </c>
      <c r="AD206" s="28">
        <f t="shared" si="15"/>
        <v>418230</v>
      </c>
      <c r="AE206" s="28">
        <f t="shared" si="16"/>
        <v>3205026</v>
      </c>
    </row>
    <row r="207" spans="1:31" x14ac:dyDescent="0.4">
      <c r="A207" s="23">
        <v>46327</v>
      </c>
      <c r="B207" s="17">
        <v>17</v>
      </c>
      <c r="C207" s="24" t="str">
        <f>직원정보!B21</f>
        <v>S0017</v>
      </c>
      <c r="D207" s="25" t="str">
        <f>직원정보!C21</f>
        <v>빛나라</v>
      </c>
      <c r="E207" s="24" t="str">
        <f>직원정보!D21</f>
        <v>기업부설연구소</v>
      </c>
      <c r="F207" s="24" t="str">
        <f>직원정보!E21</f>
        <v>연구원</v>
      </c>
      <c r="G207" s="14">
        <v>2900000</v>
      </c>
      <c r="H207" s="26">
        <f>ROUND(G207/요율기준!$B$14,0)</f>
        <v>13876</v>
      </c>
      <c r="I207" s="27">
        <v>0</v>
      </c>
      <c r="J207" s="27">
        <v>0</v>
      </c>
      <c r="K207" s="14">
        <v>240000</v>
      </c>
      <c r="L207" s="26">
        <f>ROUND(H207*요율기준!$B$15*I207,0)</f>
        <v>0</v>
      </c>
      <c r="M207" s="26">
        <f>ROUND(H207*요율기준!$B$16*J207,0)</f>
        <v>0</v>
      </c>
      <c r="N207" s="14">
        <v>0</v>
      </c>
      <c r="O207" s="14">
        <v>100000</v>
      </c>
      <c r="P207" s="14">
        <v>0</v>
      </c>
      <c r="Q207" s="14">
        <v>100000</v>
      </c>
      <c r="R207" s="14">
        <v>200000</v>
      </c>
      <c r="S207" s="14">
        <v>0</v>
      </c>
      <c r="T207" s="28">
        <f t="shared" si="13"/>
        <v>3540000</v>
      </c>
      <c r="U207" s="26">
        <f>Q207+MIN(R207,요율기준!$B$17)+MIN(S207,요율기준!$B$18)</f>
        <v>300000</v>
      </c>
      <c r="V207" s="28">
        <f t="shared" si="14"/>
        <v>3240000</v>
      </c>
      <c r="W207" s="29">
        <f>'4대보험'!F207</f>
        <v>145800</v>
      </c>
      <c r="X207" s="29">
        <f>'4대보험'!H207</f>
        <v>114850</v>
      </c>
      <c r="Y207" s="29">
        <f>'4대보험'!J207</f>
        <v>14870</v>
      </c>
      <c r="Z207" s="29">
        <f>'4대보험'!L207</f>
        <v>29160</v>
      </c>
      <c r="AA207" s="29">
        <f>세금!P207</f>
        <v>85910</v>
      </c>
      <c r="AB207" s="29">
        <f>세금!Q207</f>
        <v>8590</v>
      </c>
      <c r="AC207" s="14">
        <v>0</v>
      </c>
      <c r="AD207" s="28">
        <f t="shared" si="15"/>
        <v>399180</v>
      </c>
      <c r="AE207" s="28">
        <f t="shared" si="16"/>
        <v>3140820</v>
      </c>
    </row>
    <row r="208" spans="1:31" x14ac:dyDescent="0.4">
      <c r="A208" s="23">
        <v>46357</v>
      </c>
      <c r="B208" s="17">
        <v>17</v>
      </c>
      <c r="C208" s="24" t="str">
        <f>직원정보!B21</f>
        <v>S0017</v>
      </c>
      <c r="D208" s="25" t="str">
        <f>직원정보!C21</f>
        <v>빛나라</v>
      </c>
      <c r="E208" s="24" t="str">
        <f>직원정보!D21</f>
        <v>기업부설연구소</v>
      </c>
      <c r="F208" s="24" t="str">
        <f>직원정보!E21</f>
        <v>연구원</v>
      </c>
      <c r="G208" s="14">
        <v>2900000</v>
      </c>
      <c r="H208" s="26">
        <f>ROUND(G208/요율기준!$B$14,0)</f>
        <v>13876</v>
      </c>
      <c r="I208" s="27">
        <v>4</v>
      </c>
      <c r="J208" s="27">
        <v>0</v>
      </c>
      <c r="K208" s="14">
        <v>240000</v>
      </c>
      <c r="L208" s="26">
        <f>ROUND(H208*요율기준!$B$15*I208,0)</f>
        <v>83256</v>
      </c>
      <c r="M208" s="26">
        <f>ROUND(H208*요율기준!$B$16*J208,0)</f>
        <v>0</v>
      </c>
      <c r="N208" s="14">
        <v>0</v>
      </c>
      <c r="O208" s="14">
        <v>100000</v>
      </c>
      <c r="P208" s="14">
        <v>0</v>
      </c>
      <c r="Q208" s="14">
        <v>100000</v>
      </c>
      <c r="R208" s="14">
        <v>200000</v>
      </c>
      <c r="S208" s="14">
        <v>0</v>
      </c>
      <c r="T208" s="28">
        <f t="shared" si="13"/>
        <v>3623256</v>
      </c>
      <c r="U208" s="26">
        <f>Q208+MIN(R208,요율기준!$B$17)+MIN(S208,요율기준!$B$18)</f>
        <v>300000</v>
      </c>
      <c r="V208" s="28">
        <f t="shared" si="14"/>
        <v>3323256</v>
      </c>
      <c r="W208" s="29">
        <f>'4대보험'!F208</f>
        <v>149540</v>
      </c>
      <c r="X208" s="29">
        <f>'4대보험'!H208</f>
        <v>117800</v>
      </c>
      <c r="Y208" s="29">
        <f>'4대보험'!J208</f>
        <v>15250</v>
      </c>
      <c r="Z208" s="29">
        <f>'4대보험'!L208</f>
        <v>29900</v>
      </c>
      <c r="AA208" s="29">
        <f>세금!P208</f>
        <v>96130</v>
      </c>
      <c r="AB208" s="29">
        <f>세금!Q208</f>
        <v>9610</v>
      </c>
      <c r="AC208" s="14">
        <v>0</v>
      </c>
      <c r="AD208" s="28">
        <f t="shared" si="15"/>
        <v>418230</v>
      </c>
      <c r="AE208" s="28">
        <f t="shared" si="16"/>
        <v>3205026</v>
      </c>
    </row>
    <row r="209" spans="1:31" x14ac:dyDescent="0.4">
      <c r="A209" s="23">
        <v>46023</v>
      </c>
      <c r="B209" s="17">
        <v>18</v>
      </c>
      <c r="C209" s="24" t="str">
        <f>직원정보!B22</f>
        <v>S0018</v>
      </c>
      <c r="D209" s="25" t="str">
        <f>직원정보!C22</f>
        <v>온새미</v>
      </c>
      <c r="E209" s="24" t="str">
        <f>직원정보!D22</f>
        <v>현장지원</v>
      </c>
      <c r="F209" s="24" t="str">
        <f>직원정보!E22</f>
        <v>사원</v>
      </c>
      <c r="G209" s="14">
        <v>2700000</v>
      </c>
      <c r="H209" s="26">
        <f>ROUND(G209/요율기준!$B$14,0)</f>
        <v>12919</v>
      </c>
      <c r="I209" s="27">
        <v>14</v>
      </c>
      <c r="J209" s="27">
        <v>1</v>
      </c>
      <c r="K209" s="14">
        <v>220000</v>
      </c>
      <c r="L209" s="26">
        <f>ROUND(H209*요율기준!$B$15*I209,0)</f>
        <v>271299</v>
      </c>
      <c r="M209" s="26">
        <f>ROUND(H209*요율기준!$B$16*J209,0)</f>
        <v>6460</v>
      </c>
      <c r="N209" s="14">
        <v>0</v>
      </c>
      <c r="O209" s="14">
        <v>100000</v>
      </c>
      <c r="P209" s="14">
        <v>0</v>
      </c>
      <c r="Q209" s="14">
        <v>100000</v>
      </c>
      <c r="R209" s="14">
        <v>200000</v>
      </c>
      <c r="S209" s="14">
        <v>0</v>
      </c>
      <c r="T209" s="28">
        <f t="shared" si="13"/>
        <v>3597759</v>
      </c>
      <c r="U209" s="26">
        <f>Q209+MIN(R209,요율기준!$B$17)+MIN(S209,요율기준!$B$18)</f>
        <v>300000</v>
      </c>
      <c r="V209" s="28">
        <f t="shared" si="14"/>
        <v>3297759</v>
      </c>
      <c r="W209" s="29">
        <f>'4대보험'!F209</f>
        <v>148390</v>
      </c>
      <c r="X209" s="29">
        <f>'4대보험'!H209</f>
        <v>116900</v>
      </c>
      <c r="Y209" s="29">
        <f>'4대보험'!J209</f>
        <v>15130</v>
      </c>
      <c r="Z209" s="29">
        <f>'4대보험'!L209</f>
        <v>29670</v>
      </c>
      <c r="AA209" s="29">
        <f>세금!P209</f>
        <v>93000</v>
      </c>
      <c r="AB209" s="29">
        <f>세금!Q209</f>
        <v>9300</v>
      </c>
      <c r="AC209" s="14">
        <v>0</v>
      </c>
      <c r="AD209" s="28">
        <f t="shared" si="15"/>
        <v>412390</v>
      </c>
      <c r="AE209" s="28">
        <f t="shared" si="16"/>
        <v>3185369</v>
      </c>
    </row>
    <row r="210" spans="1:31" x14ac:dyDescent="0.4">
      <c r="A210" s="23">
        <v>46054</v>
      </c>
      <c r="B210" s="17">
        <v>18</v>
      </c>
      <c r="C210" s="24" t="str">
        <f>직원정보!B22</f>
        <v>S0018</v>
      </c>
      <c r="D210" s="25" t="str">
        <f>직원정보!C22</f>
        <v>온새미</v>
      </c>
      <c r="E210" s="24" t="str">
        <f>직원정보!D22</f>
        <v>현장지원</v>
      </c>
      <c r="F210" s="24" t="str">
        <f>직원정보!E22</f>
        <v>사원</v>
      </c>
      <c r="G210" s="14">
        <v>2700000</v>
      </c>
      <c r="H210" s="26">
        <f>ROUND(G210/요율기준!$B$14,0)</f>
        <v>12919</v>
      </c>
      <c r="I210" s="27">
        <v>19</v>
      </c>
      <c r="J210" s="27">
        <v>4</v>
      </c>
      <c r="K210" s="14">
        <v>220000</v>
      </c>
      <c r="L210" s="26">
        <f>ROUND(H210*요율기준!$B$15*I210,0)</f>
        <v>368192</v>
      </c>
      <c r="M210" s="26">
        <f>ROUND(H210*요율기준!$B$16*J210,0)</f>
        <v>25838</v>
      </c>
      <c r="N210" s="14">
        <v>0</v>
      </c>
      <c r="O210" s="14">
        <v>100000</v>
      </c>
      <c r="P210" s="14">
        <v>0</v>
      </c>
      <c r="Q210" s="14">
        <v>100000</v>
      </c>
      <c r="R210" s="14">
        <v>200000</v>
      </c>
      <c r="S210" s="14">
        <v>0</v>
      </c>
      <c r="T210" s="28">
        <f t="shared" si="13"/>
        <v>3714030</v>
      </c>
      <c r="U210" s="26">
        <f>Q210+MIN(R210,요율기준!$B$17)+MIN(S210,요율기준!$B$18)</f>
        <v>300000</v>
      </c>
      <c r="V210" s="28">
        <f t="shared" si="14"/>
        <v>3414030</v>
      </c>
      <c r="W210" s="29">
        <f>'4대보험'!F210</f>
        <v>153630</v>
      </c>
      <c r="X210" s="29">
        <f>'4대보험'!H210</f>
        <v>121020</v>
      </c>
      <c r="Y210" s="29">
        <f>'4대보험'!J210</f>
        <v>15670</v>
      </c>
      <c r="Z210" s="29">
        <f>'4대보험'!L210</f>
        <v>30720</v>
      </c>
      <c r="AA210" s="29">
        <f>세금!P210</f>
        <v>107280</v>
      </c>
      <c r="AB210" s="29">
        <f>세금!Q210</f>
        <v>10720</v>
      </c>
      <c r="AC210" s="14">
        <v>0</v>
      </c>
      <c r="AD210" s="28">
        <f t="shared" si="15"/>
        <v>439040</v>
      </c>
      <c r="AE210" s="28">
        <f t="shared" si="16"/>
        <v>3274990</v>
      </c>
    </row>
    <row r="211" spans="1:31" x14ac:dyDescent="0.4">
      <c r="A211" s="23">
        <v>46082</v>
      </c>
      <c r="B211" s="17">
        <v>18</v>
      </c>
      <c r="C211" s="24" t="str">
        <f>직원정보!B22</f>
        <v>S0018</v>
      </c>
      <c r="D211" s="25" t="str">
        <f>직원정보!C22</f>
        <v>온새미</v>
      </c>
      <c r="E211" s="24" t="str">
        <f>직원정보!D22</f>
        <v>현장지원</v>
      </c>
      <c r="F211" s="24" t="str">
        <f>직원정보!E22</f>
        <v>사원</v>
      </c>
      <c r="G211" s="14">
        <v>2700000</v>
      </c>
      <c r="H211" s="26">
        <f>ROUND(G211/요율기준!$B$14,0)</f>
        <v>12919</v>
      </c>
      <c r="I211" s="27">
        <v>24</v>
      </c>
      <c r="J211" s="27">
        <v>7</v>
      </c>
      <c r="K211" s="14">
        <v>220000</v>
      </c>
      <c r="L211" s="26">
        <f>ROUND(H211*요율기준!$B$15*I211,0)</f>
        <v>465084</v>
      </c>
      <c r="M211" s="26">
        <f>ROUND(H211*요율기준!$B$16*J211,0)</f>
        <v>45217</v>
      </c>
      <c r="N211" s="14">
        <v>0</v>
      </c>
      <c r="O211" s="14">
        <v>100000</v>
      </c>
      <c r="P211" s="14">
        <v>0</v>
      </c>
      <c r="Q211" s="14">
        <v>100000</v>
      </c>
      <c r="R211" s="14">
        <v>200000</v>
      </c>
      <c r="S211" s="14">
        <v>0</v>
      </c>
      <c r="T211" s="28">
        <f t="shared" si="13"/>
        <v>3830301</v>
      </c>
      <c r="U211" s="26">
        <f>Q211+MIN(R211,요율기준!$B$17)+MIN(S211,요율기준!$B$18)</f>
        <v>300000</v>
      </c>
      <c r="V211" s="28">
        <f t="shared" si="14"/>
        <v>3530301</v>
      </c>
      <c r="W211" s="29">
        <f>'4대보험'!F211</f>
        <v>158860</v>
      </c>
      <c r="X211" s="29">
        <f>'4대보험'!H211</f>
        <v>125140</v>
      </c>
      <c r="Y211" s="29">
        <f>'4대보험'!J211</f>
        <v>16200</v>
      </c>
      <c r="Z211" s="29">
        <f>'4대보험'!L211</f>
        <v>31770</v>
      </c>
      <c r="AA211" s="29">
        <f>세금!P211</f>
        <v>121550</v>
      </c>
      <c r="AB211" s="29">
        <f>세금!Q211</f>
        <v>12150</v>
      </c>
      <c r="AC211" s="14">
        <v>0</v>
      </c>
      <c r="AD211" s="28">
        <f t="shared" si="15"/>
        <v>465670</v>
      </c>
      <c r="AE211" s="28">
        <f t="shared" si="16"/>
        <v>3364631</v>
      </c>
    </row>
    <row r="212" spans="1:31" x14ac:dyDescent="0.4">
      <c r="A212" s="23">
        <v>46113</v>
      </c>
      <c r="B212" s="17">
        <v>18</v>
      </c>
      <c r="C212" s="24" t="str">
        <f>직원정보!B22</f>
        <v>S0018</v>
      </c>
      <c r="D212" s="25" t="str">
        <f>직원정보!C22</f>
        <v>온새미</v>
      </c>
      <c r="E212" s="24" t="str">
        <f>직원정보!D22</f>
        <v>현장지원</v>
      </c>
      <c r="F212" s="24" t="str">
        <f>직원정보!E22</f>
        <v>사원</v>
      </c>
      <c r="G212" s="14">
        <v>2700000</v>
      </c>
      <c r="H212" s="26">
        <f>ROUND(G212/요율기준!$B$14,0)</f>
        <v>12919</v>
      </c>
      <c r="I212" s="27">
        <v>29</v>
      </c>
      <c r="J212" s="27">
        <v>10</v>
      </c>
      <c r="K212" s="14">
        <v>220000</v>
      </c>
      <c r="L212" s="26">
        <f>ROUND(H212*요율기준!$B$15*I212,0)</f>
        <v>561977</v>
      </c>
      <c r="M212" s="26">
        <f>ROUND(H212*요율기준!$B$16*J212,0)</f>
        <v>64595</v>
      </c>
      <c r="N212" s="14">
        <v>0</v>
      </c>
      <c r="O212" s="14">
        <v>100000</v>
      </c>
      <c r="P212" s="14">
        <v>0</v>
      </c>
      <c r="Q212" s="14">
        <v>100000</v>
      </c>
      <c r="R212" s="14">
        <v>200000</v>
      </c>
      <c r="S212" s="14">
        <v>0</v>
      </c>
      <c r="T212" s="28">
        <f t="shared" si="13"/>
        <v>3946572</v>
      </c>
      <c r="U212" s="26">
        <f>Q212+MIN(R212,요율기준!$B$17)+MIN(S212,요율기준!$B$18)</f>
        <v>300000</v>
      </c>
      <c r="V212" s="28">
        <f t="shared" si="14"/>
        <v>3646572</v>
      </c>
      <c r="W212" s="29">
        <f>'4대보험'!F212</f>
        <v>164090</v>
      </c>
      <c r="X212" s="29">
        <f>'4대보험'!H212</f>
        <v>129270</v>
      </c>
      <c r="Y212" s="29">
        <f>'4대보험'!J212</f>
        <v>16740</v>
      </c>
      <c r="Z212" s="29">
        <f>'4대보험'!L212</f>
        <v>32810</v>
      </c>
      <c r="AA212" s="29">
        <f>세금!P212</f>
        <v>135310</v>
      </c>
      <c r="AB212" s="29">
        <f>세금!Q212</f>
        <v>13530</v>
      </c>
      <c r="AC212" s="14">
        <v>0</v>
      </c>
      <c r="AD212" s="28">
        <f t="shared" si="15"/>
        <v>491750</v>
      </c>
      <c r="AE212" s="28">
        <f t="shared" si="16"/>
        <v>3454822</v>
      </c>
    </row>
    <row r="213" spans="1:31" x14ac:dyDescent="0.4">
      <c r="A213" s="23">
        <v>46143</v>
      </c>
      <c r="B213" s="17">
        <v>18</v>
      </c>
      <c r="C213" s="24" t="str">
        <f>직원정보!B22</f>
        <v>S0018</v>
      </c>
      <c r="D213" s="25" t="str">
        <f>직원정보!C22</f>
        <v>온새미</v>
      </c>
      <c r="E213" s="24" t="str">
        <f>직원정보!D22</f>
        <v>현장지원</v>
      </c>
      <c r="F213" s="24" t="str">
        <f>직원정보!E22</f>
        <v>사원</v>
      </c>
      <c r="G213" s="14">
        <v>2700000</v>
      </c>
      <c r="H213" s="26">
        <f>ROUND(G213/요율기준!$B$14,0)</f>
        <v>12919</v>
      </c>
      <c r="I213" s="27">
        <v>9</v>
      </c>
      <c r="J213" s="27">
        <v>1</v>
      </c>
      <c r="K213" s="14">
        <v>220000</v>
      </c>
      <c r="L213" s="26">
        <f>ROUND(H213*요율기준!$B$15*I213,0)</f>
        <v>174407</v>
      </c>
      <c r="M213" s="26">
        <f>ROUND(H213*요율기준!$B$16*J213,0)</f>
        <v>6460</v>
      </c>
      <c r="N213" s="14">
        <v>0</v>
      </c>
      <c r="O213" s="14">
        <v>100000</v>
      </c>
      <c r="P213" s="14">
        <v>0</v>
      </c>
      <c r="Q213" s="14">
        <v>100000</v>
      </c>
      <c r="R213" s="14">
        <v>200000</v>
      </c>
      <c r="S213" s="14">
        <v>0</v>
      </c>
      <c r="T213" s="28">
        <f t="shared" si="13"/>
        <v>3500867</v>
      </c>
      <c r="U213" s="26">
        <f>Q213+MIN(R213,요율기준!$B$17)+MIN(S213,요율기준!$B$18)</f>
        <v>300000</v>
      </c>
      <c r="V213" s="28">
        <f t="shared" si="14"/>
        <v>3200867</v>
      </c>
      <c r="W213" s="29">
        <f>'4대보험'!F213</f>
        <v>144030</v>
      </c>
      <c r="X213" s="29">
        <f>'4대보험'!H213</f>
        <v>113470</v>
      </c>
      <c r="Y213" s="29">
        <f>'4대보험'!J213</f>
        <v>14690</v>
      </c>
      <c r="Z213" s="29">
        <f>'4대보험'!L213</f>
        <v>28800</v>
      </c>
      <c r="AA213" s="29">
        <f>세금!P213</f>
        <v>81110</v>
      </c>
      <c r="AB213" s="29">
        <f>세금!Q213</f>
        <v>8110</v>
      </c>
      <c r="AC213" s="14">
        <v>0</v>
      </c>
      <c r="AD213" s="28">
        <f t="shared" si="15"/>
        <v>390210</v>
      </c>
      <c r="AE213" s="28">
        <f t="shared" si="16"/>
        <v>3110657</v>
      </c>
    </row>
    <row r="214" spans="1:31" x14ac:dyDescent="0.4">
      <c r="A214" s="23">
        <v>46174</v>
      </c>
      <c r="B214" s="17">
        <v>18</v>
      </c>
      <c r="C214" s="24" t="str">
        <f>직원정보!B22</f>
        <v>S0018</v>
      </c>
      <c r="D214" s="25" t="str">
        <f>직원정보!C22</f>
        <v>온새미</v>
      </c>
      <c r="E214" s="24" t="str">
        <f>직원정보!D22</f>
        <v>현장지원</v>
      </c>
      <c r="F214" s="24" t="str">
        <f>직원정보!E22</f>
        <v>사원</v>
      </c>
      <c r="G214" s="14">
        <v>2700000</v>
      </c>
      <c r="H214" s="26">
        <f>ROUND(G214/요율기준!$B$14,0)</f>
        <v>12919</v>
      </c>
      <c r="I214" s="27">
        <v>14</v>
      </c>
      <c r="J214" s="27">
        <v>4</v>
      </c>
      <c r="K214" s="14">
        <v>220000</v>
      </c>
      <c r="L214" s="26">
        <f>ROUND(H214*요율기준!$B$15*I214,0)</f>
        <v>271299</v>
      </c>
      <c r="M214" s="26">
        <f>ROUND(H214*요율기준!$B$16*J214,0)</f>
        <v>25838</v>
      </c>
      <c r="N214" s="14">
        <v>0</v>
      </c>
      <c r="O214" s="14">
        <v>100000</v>
      </c>
      <c r="P214" s="14">
        <v>0</v>
      </c>
      <c r="Q214" s="14">
        <v>100000</v>
      </c>
      <c r="R214" s="14">
        <v>200000</v>
      </c>
      <c r="S214" s="14">
        <v>0</v>
      </c>
      <c r="T214" s="28">
        <f t="shared" si="13"/>
        <v>3617137</v>
      </c>
      <c r="U214" s="26">
        <f>Q214+MIN(R214,요율기준!$B$17)+MIN(S214,요율기준!$B$18)</f>
        <v>300000</v>
      </c>
      <c r="V214" s="28">
        <f t="shared" si="14"/>
        <v>3317137</v>
      </c>
      <c r="W214" s="29">
        <f>'4대보험'!F214</f>
        <v>149270</v>
      </c>
      <c r="X214" s="29">
        <f>'4대보험'!H214</f>
        <v>117590</v>
      </c>
      <c r="Y214" s="29">
        <f>'4대보험'!J214</f>
        <v>15220</v>
      </c>
      <c r="Z214" s="29">
        <f>'4대보험'!L214</f>
        <v>29850</v>
      </c>
      <c r="AA214" s="29">
        <f>세금!P214</f>
        <v>95380</v>
      </c>
      <c r="AB214" s="29">
        <f>세금!Q214</f>
        <v>9530</v>
      </c>
      <c r="AC214" s="14">
        <v>0</v>
      </c>
      <c r="AD214" s="28">
        <f t="shared" si="15"/>
        <v>416840</v>
      </c>
      <c r="AE214" s="28">
        <f t="shared" si="16"/>
        <v>3200297</v>
      </c>
    </row>
    <row r="215" spans="1:31" x14ac:dyDescent="0.4">
      <c r="A215" s="23">
        <v>46204</v>
      </c>
      <c r="B215" s="17">
        <v>18</v>
      </c>
      <c r="C215" s="24" t="str">
        <f>직원정보!B22</f>
        <v>S0018</v>
      </c>
      <c r="D215" s="25" t="str">
        <f>직원정보!C22</f>
        <v>온새미</v>
      </c>
      <c r="E215" s="24" t="str">
        <f>직원정보!D22</f>
        <v>현장지원</v>
      </c>
      <c r="F215" s="24" t="str">
        <f>직원정보!E22</f>
        <v>사원</v>
      </c>
      <c r="G215" s="14">
        <v>2700000</v>
      </c>
      <c r="H215" s="26">
        <f>ROUND(G215/요율기준!$B$14,0)</f>
        <v>12919</v>
      </c>
      <c r="I215" s="27">
        <v>19</v>
      </c>
      <c r="J215" s="27">
        <v>7</v>
      </c>
      <c r="K215" s="14">
        <v>220000</v>
      </c>
      <c r="L215" s="26">
        <f>ROUND(H215*요율기준!$B$15*I215,0)</f>
        <v>368192</v>
      </c>
      <c r="M215" s="26">
        <f>ROUND(H215*요율기준!$B$16*J215,0)</f>
        <v>45217</v>
      </c>
      <c r="N215" s="14">
        <v>0</v>
      </c>
      <c r="O215" s="14">
        <v>100000</v>
      </c>
      <c r="P215" s="14">
        <v>0</v>
      </c>
      <c r="Q215" s="14">
        <v>100000</v>
      </c>
      <c r="R215" s="14">
        <v>200000</v>
      </c>
      <c r="S215" s="14">
        <v>0</v>
      </c>
      <c r="T215" s="28">
        <f t="shared" si="13"/>
        <v>3733409</v>
      </c>
      <c r="U215" s="26">
        <f>Q215+MIN(R215,요율기준!$B$17)+MIN(S215,요율기준!$B$18)</f>
        <v>300000</v>
      </c>
      <c r="V215" s="28">
        <f t="shared" si="14"/>
        <v>3433409</v>
      </c>
      <c r="W215" s="29">
        <f>'4대보험'!F215</f>
        <v>154500</v>
      </c>
      <c r="X215" s="29">
        <f>'4대보험'!H215</f>
        <v>121710</v>
      </c>
      <c r="Y215" s="29">
        <f>'4대보험'!J215</f>
        <v>15760</v>
      </c>
      <c r="Z215" s="29">
        <f>'4대보험'!L215</f>
        <v>30900</v>
      </c>
      <c r="AA215" s="29">
        <f>세금!P215</f>
        <v>109650</v>
      </c>
      <c r="AB215" s="29">
        <f>세금!Q215</f>
        <v>10960</v>
      </c>
      <c r="AC215" s="14">
        <v>0</v>
      </c>
      <c r="AD215" s="28">
        <f t="shared" si="15"/>
        <v>443480</v>
      </c>
      <c r="AE215" s="28">
        <f t="shared" si="16"/>
        <v>3289929</v>
      </c>
    </row>
    <row r="216" spans="1:31" x14ac:dyDescent="0.4">
      <c r="A216" s="23">
        <v>46235</v>
      </c>
      <c r="B216" s="17">
        <v>18</v>
      </c>
      <c r="C216" s="24" t="str">
        <f>직원정보!B22</f>
        <v>S0018</v>
      </c>
      <c r="D216" s="25" t="str">
        <f>직원정보!C22</f>
        <v>온새미</v>
      </c>
      <c r="E216" s="24" t="str">
        <f>직원정보!D22</f>
        <v>현장지원</v>
      </c>
      <c r="F216" s="24" t="str">
        <f>직원정보!E22</f>
        <v>사원</v>
      </c>
      <c r="G216" s="14">
        <v>2700000</v>
      </c>
      <c r="H216" s="26">
        <f>ROUND(G216/요율기준!$B$14,0)</f>
        <v>12919</v>
      </c>
      <c r="I216" s="27">
        <v>24</v>
      </c>
      <c r="J216" s="27">
        <v>10</v>
      </c>
      <c r="K216" s="14">
        <v>220000</v>
      </c>
      <c r="L216" s="26">
        <f>ROUND(H216*요율기준!$B$15*I216,0)</f>
        <v>465084</v>
      </c>
      <c r="M216" s="26">
        <f>ROUND(H216*요율기준!$B$16*J216,0)</f>
        <v>64595</v>
      </c>
      <c r="N216" s="14">
        <v>0</v>
      </c>
      <c r="O216" s="14">
        <v>100000</v>
      </c>
      <c r="P216" s="14">
        <v>0</v>
      </c>
      <c r="Q216" s="14">
        <v>100000</v>
      </c>
      <c r="R216" s="14">
        <v>200000</v>
      </c>
      <c r="S216" s="14">
        <v>0</v>
      </c>
      <c r="T216" s="28">
        <f t="shared" si="13"/>
        <v>3849679</v>
      </c>
      <c r="U216" s="26">
        <f>Q216+MIN(R216,요율기준!$B$17)+MIN(S216,요율기준!$B$18)</f>
        <v>300000</v>
      </c>
      <c r="V216" s="28">
        <f t="shared" si="14"/>
        <v>3549679</v>
      </c>
      <c r="W216" s="29">
        <f>'4대보험'!F216</f>
        <v>159730</v>
      </c>
      <c r="X216" s="29">
        <f>'4대보험'!H216</f>
        <v>125830</v>
      </c>
      <c r="Y216" s="29">
        <f>'4대보험'!J216</f>
        <v>16290</v>
      </c>
      <c r="Z216" s="29">
        <f>'4대보험'!L216</f>
        <v>31940</v>
      </c>
      <c r="AA216" s="29">
        <f>세금!P216</f>
        <v>123930</v>
      </c>
      <c r="AB216" s="29">
        <f>세금!Q216</f>
        <v>12390</v>
      </c>
      <c r="AC216" s="14">
        <v>0</v>
      </c>
      <c r="AD216" s="28">
        <f t="shared" si="15"/>
        <v>470110</v>
      </c>
      <c r="AE216" s="28">
        <f t="shared" si="16"/>
        <v>3379569</v>
      </c>
    </row>
    <row r="217" spans="1:31" x14ac:dyDescent="0.4">
      <c r="A217" s="23">
        <v>46266</v>
      </c>
      <c r="B217" s="17">
        <v>18</v>
      </c>
      <c r="C217" s="24" t="str">
        <f>직원정보!B22</f>
        <v>S0018</v>
      </c>
      <c r="D217" s="25" t="str">
        <f>직원정보!C22</f>
        <v>온새미</v>
      </c>
      <c r="E217" s="24" t="str">
        <f>직원정보!D22</f>
        <v>현장지원</v>
      </c>
      <c r="F217" s="24" t="str">
        <f>직원정보!E22</f>
        <v>사원</v>
      </c>
      <c r="G217" s="14">
        <v>2700000</v>
      </c>
      <c r="H217" s="26">
        <f>ROUND(G217/요율기준!$B$14,0)</f>
        <v>12919</v>
      </c>
      <c r="I217" s="27">
        <v>29</v>
      </c>
      <c r="J217" s="27">
        <v>1</v>
      </c>
      <c r="K217" s="14">
        <v>220000</v>
      </c>
      <c r="L217" s="26">
        <f>ROUND(H217*요율기준!$B$15*I217,0)</f>
        <v>561977</v>
      </c>
      <c r="M217" s="26">
        <f>ROUND(H217*요율기준!$B$16*J217,0)</f>
        <v>6460</v>
      </c>
      <c r="N217" s="14">
        <v>0</v>
      </c>
      <c r="O217" s="14">
        <v>100000</v>
      </c>
      <c r="P217" s="14">
        <v>0</v>
      </c>
      <c r="Q217" s="14">
        <v>100000</v>
      </c>
      <c r="R217" s="14">
        <v>200000</v>
      </c>
      <c r="S217" s="14">
        <v>0</v>
      </c>
      <c r="T217" s="28">
        <f t="shared" si="13"/>
        <v>3888437</v>
      </c>
      <c r="U217" s="26">
        <f>Q217+MIN(R217,요율기준!$B$17)+MIN(S217,요율기준!$B$18)</f>
        <v>300000</v>
      </c>
      <c r="V217" s="28">
        <f t="shared" si="14"/>
        <v>3588437</v>
      </c>
      <c r="W217" s="29">
        <f>'4대보험'!F217</f>
        <v>161470</v>
      </c>
      <c r="X217" s="29">
        <f>'4대보험'!H217</f>
        <v>127210</v>
      </c>
      <c r="Y217" s="29">
        <f>'4대보험'!J217</f>
        <v>16470</v>
      </c>
      <c r="Z217" s="29">
        <f>'4대보험'!L217</f>
        <v>32290</v>
      </c>
      <c r="AA217" s="29">
        <f>세금!P217</f>
        <v>128640</v>
      </c>
      <c r="AB217" s="29">
        <f>세금!Q217</f>
        <v>12860</v>
      </c>
      <c r="AC217" s="14">
        <v>0</v>
      </c>
      <c r="AD217" s="28">
        <f t="shared" si="15"/>
        <v>478940</v>
      </c>
      <c r="AE217" s="28">
        <f t="shared" si="16"/>
        <v>3409497</v>
      </c>
    </row>
    <row r="218" spans="1:31" x14ac:dyDescent="0.4">
      <c r="A218" s="23">
        <v>46296</v>
      </c>
      <c r="B218" s="17">
        <v>18</v>
      </c>
      <c r="C218" s="24" t="str">
        <f>직원정보!B22</f>
        <v>S0018</v>
      </c>
      <c r="D218" s="25" t="str">
        <f>직원정보!C22</f>
        <v>온새미</v>
      </c>
      <c r="E218" s="24" t="str">
        <f>직원정보!D22</f>
        <v>현장지원</v>
      </c>
      <c r="F218" s="24" t="str">
        <f>직원정보!E22</f>
        <v>사원</v>
      </c>
      <c r="G218" s="14">
        <v>2700000</v>
      </c>
      <c r="H218" s="26">
        <f>ROUND(G218/요율기준!$B$14,0)</f>
        <v>12919</v>
      </c>
      <c r="I218" s="27">
        <v>9</v>
      </c>
      <c r="J218" s="27">
        <v>4</v>
      </c>
      <c r="K218" s="14">
        <v>220000</v>
      </c>
      <c r="L218" s="26">
        <f>ROUND(H218*요율기준!$B$15*I218,0)</f>
        <v>174407</v>
      </c>
      <c r="M218" s="26">
        <f>ROUND(H218*요율기준!$B$16*J218,0)</f>
        <v>25838</v>
      </c>
      <c r="N218" s="14">
        <v>0</v>
      </c>
      <c r="O218" s="14">
        <v>100000</v>
      </c>
      <c r="P218" s="14">
        <v>0</v>
      </c>
      <c r="Q218" s="14">
        <v>100000</v>
      </c>
      <c r="R218" s="14">
        <v>200000</v>
      </c>
      <c r="S218" s="14">
        <v>0</v>
      </c>
      <c r="T218" s="28">
        <f t="shared" si="13"/>
        <v>3520245</v>
      </c>
      <c r="U218" s="26">
        <f>Q218+MIN(R218,요율기준!$B$17)+MIN(S218,요율기준!$B$18)</f>
        <v>300000</v>
      </c>
      <c r="V218" s="28">
        <f t="shared" si="14"/>
        <v>3220245</v>
      </c>
      <c r="W218" s="29">
        <f>'4대보험'!F218</f>
        <v>144910</v>
      </c>
      <c r="X218" s="29">
        <f>'4대보험'!H218</f>
        <v>114150</v>
      </c>
      <c r="Y218" s="29">
        <f>'4대보험'!J218</f>
        <v>14780</v>
      </c>
      <c r="Z218" s="29">
        <f>'4대보험'!L218</f>
        <v>28980</v>
      </c>
      <c r="AA218" s="29">
        <f>세금!P218</f>
        <v>83490</v>
      </c>
      <c r="AB218" s="29">
        <f>세금!Q218</f>
        <v>8340</v>
      </c>
      <c r="AC218" s="14">
        <v>0</v>
      </c>
      <c r="AD218" s="28">
        <f t="shared" si="15"/>
        <v>394650</v>
      </c>
      <c r="AE218" s="28">
        <f t="shared" si="16"/>
        <v>3125595</v>
      </c>
    </row>
    <row r="219" spans="1:31" x14ac:dyDescent="0.4">
      <c r="A219" s="23">
        <v>46327</v>
      </c>
      <c r="B219" s="17">
        <v>18</v>
      </c>
      <c r="C219" s="24" t="str">
        <f>직원정보!B22</f>
        <v>S0018</v>
      </c>
      <c r="D219" s="25" t="str">
        <f>직원정보!C22</f>
        <v>온새미</v>
      </c>
      <c r="E219" s="24" t="str">
        <f>직원정보!D22</f>
        <v>현장지원</v>
      </c>
      <c r="F219" s="24" t="str">
        <f>직원정보!E22</f>
        <v>사원</v>
      </c>
      <c r="G219" s="14">
        <v>2700000</v>
      </c>
      <c r="H219" s="26">
        <f>ROUND(G219/요율기준!$B$14,0)</f>
        <v>12919</v>
      </c>
      <c r="I219" s="27">
        <v>14</v>
      </c>
      <c r="J219" s="27">
        <v>7</v>
      </c>
      <c r="K219" s="14">
        <v>220000</v>
      </c>
      <c r="L219" s="26">
        <f>ROUND(H219*요율기준!$B$15*I219,0)</f>
        <v>271299</v>
      </c>
      <c r="M219" s="26">
        <f>ROUND(H219*요율기준!$B$16*J219,0)</f>
        <v>45217</v>
      </c>
      <c r="N219" s="14">
        <v>0</v>
      </c>
      <c r="O219" s="14">
        <v>100000</v>
      </c>
      <c r="P219" s="14">
        <v>0</v>
      </c>
      <c r="Q219" s="14">
        <v>100000</v>
      </c>
      <c r="R219" s="14">
        <v>200000</v>
      </c>
      <c r="S219" s="14">
        <v>0</v>
      </c>
      <c r="T219" s="28">
        <f t="shared" si="13"/>
        <v>3636516</v>
      </c>
      <c r="U219" s="26">
        <f>Q219+MIN(R219,요율기준!$B$17)+MIN(S219,요율기준!$B$18)</f>
        <v>300000</v>
      </c>
      <c r="V219" s="28">
        <f t="shared" si="14"/>
        <v>3336516</v>
      </c>
      <c r="W219" s="29">
        <f>'4대보험'!F219</f>
        <v>150140</v>
      </c>
      <c r="X219" s="29">
        <f>'4대보험'!H219</f>
        <v>118270</v>
      </c>
      <c r="Y219" s="29">
        <f>'4대보험'!J219</f>
        <v>15310</v>
      </c>
      <c r="Z219" s="29">
        <f>'4대보험'!L219</f>
        <v>30020</v>
      </c>
      <c r="AA219" s="29">
        <f>세금!P219</f>
        <v>97760</v>
      </c>
      <c r="AB219" s="29">
        <f>세금!Q219</f>
        <v>9770</v>
      </c>
      <c r="AC219" s="14">
        <v>0</v>
      </c>
      <c r="AD219" s="28">
        <f t="shared" si="15"/>
        <v>421270</v>
      </c>
      <c r="AE219" s="28">
        <f t="shared" si="16"/>
        <v>3215246</v>
      </c>
    </row>
    <row r="220" spans="1:31" x14ac:dyDescent="0.4">
      <c r="A220" s="23">
        <v>46357</v>
      </c>
      <c r="B220" s="17">
        <v>18</v>
      </c>
      <c r="C220" s="24" t="str">
        <f>직원정보!B22</f>
        <v>S0018</v>
      </c>
      <c r="D220" s="25" t="str">
        <f>직원정보!C22</f>
        <v>온새미</v>
      </c>
      <c r="E220" s="24" t="str">
        <f>직원정보!D22</f>
        <v>현장지원</v>
      </c>
      <c r="F220" s="24" t="str">
        <f>직원정보!E22</f>
        <v>사원</v>
      </c>
      <c r="G220" s="14">
        <v>2700000</v>
      </c>
      <c r="H220" s="26">
        <f>ROUND(G220/요율기준!$B$14,0)</f>
        <v>12919</v>
      </c>
      <c r="I220" s="27">
        <v>19</v>
      </c>
      <c r="J220" s="27">
        <v>10</v>
      </c>
      <c r="K220" s="14">
        <v>220000</v>
      </c>
      <c r="L220" s="26">
        <f>ROUND(H220*요율기준!$B$15*I220,0)</f>
        <v>368192</v>
      </c>
      <c r="M220" s="26">
        <f>ROUND(H220*요율기준!$B$16*J220,0)</f>
        <v>64595</v>
      </c>
      <c r="N220" s="14">
        <v>0</v>
      </c>
      <c r="O220" s="14">
        <v>100000</v>
      </c>
      <c r="P220" s="14">
        <v>0</v>
      </c>
      <c r="Q220" s="14">
        <v>100000</v>
      </c>
      <c r="R220" s="14">
        <v>200000</v>
      </c>
      <c r="S220" s="14">
        <v>0</v>
      </c>
      <c r="T220" s="28">
        <f t="shared" si="13"/>
        <v>3752787</v>
      </c>
      <c r="U220" s="26">
        <f>Q220+MIN(R220,요율기준!$B$17)+MIN(S220,요율기준!$B$18)</f>
        <v>300000</v>
      </c>
      <c r="V220" s="28">
        <f t="shared" si="14"/>
        <v>3452787</v>
      </c>
      <c r="W220" s="29">
        <f>'4대보험'!F220</f>
        <v>155370</v>
      </c>
      <c r="X220" s="29">
        <f>'4대보험'!H220</f>
        <v>122400</v>
      </c>
      <c r="Y220" s="29">
        <f>'4대보험'!J220</f>
        <v>15850</v>
      </c>
      <c r="Z220" s="29">
        <f>'4대보험'!L220</f>
        <v>31070</v>
      </c>
      <c r="AA220" s="29">
        <f>세금!P220</f>
        <v>112030</v>
      </c>
      <c r="AB220" s="29">
        <f>세금!Q220</f>
        <v>11200</v>
      </c>
      <c r="AC220" s="14">
        <v>0</v>
      </c>
      <c r="AD220" s="28">
        <f t="shared" si="15"/>
        <v>447920</v>
      </c>
      <c r="AE220" s="28">
        <f t="shared" si="16"/>
        <v>3304867</v>
      </c>
    </row>
  </sheetData>
  <autoFilter ref="A4:AE220" xr:uid="{00000000-0009-0000-0000-000003000000}"/>
  <mergeCells count="6">
    <mergeCell ref="A2:F2"/>
    <mergeCell ref="AE3"/>
    <mergeCell ref="G3:S3"/>
    <mergeCell ref="T3:V3"/>
    <mergeCell ref="A3:F3"/>
    <mergeCell ref="W3:AD3"/>
  </mergeCells>
  <phoneticPr fontId="1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20"/>
  <sheetViews>
    <sheetView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9" customWidth="1"/>
    <col min="2" max="2" width="4" customWidth="1"/>
    <col min="3" max="3" width="8" customWidth="1"/>
    <col min="4" max="5" width="11" customWidth="1"/>
    <col min="6" max="14" width="9" customWidth="1"/>
    <col min="15" max="16" width="10" customWidth="1"/>
    <col min="17" max="17" width="11" customWidth="1"/>
  </cols>
  <sheetData>
    <row r="1" spans="1:17" ht="21" x14ac:dyDescent="0.4">
      <c r="A1" s="5" t="s">
        <v>195</v>
      </c>
    </row>
    <row r="2" spans="1:17" x14ac:dyDescent="0.4">
      <c r="A2" s="2" t="s">
        <v>196</v>
      </c>
      <c r="E2" s="21">
        <f t="shared" ref="E2:Q2" si="0">SUBTOTAL(109,E5:E220)</f>
        <v>999745137</v>
      </c>
      <c r="F2" s="21">
        <f t="shared" si="0"/>
        <v>44543040</v>
      </c>
      <c r="G2" s="21">
        <f t="shared" si="0"/>
        <v>44543040</v>
      </c>
      <c r="H2" s="21">
        <f t="shared" si="0"/>
        <v>35439950</v>
      </c>
      <c r="I2" s="21">
        <f t="shared" si="0"/>
        <v>35439950</v>
      </c>
      <c r="J2" s="21">
        <f t="shared" si="0"/>
        <v>4588390</v>
      </c>
      <c r="K2" s="21">
        <f t="shared" si="0"/>
        <v>4588390</v>
      </c>
      <c r="L2" s="21">
        <f t="shared" si="0"/>
        <v>8996700</v>
      </c>
      <c r="M2" s="21">
        <f t="shared" si="0"/>
        <v>11496060</v>
      </c>
      <c r="N2" s="21">
        <f t="shared" si="0"/>
        <v>14695280</v>
      </c>
      <c r="O2" s="21">
        <f t="shared" si="0"/>
        <v>93568080</v>
      </c>
      <c r="P2" s="21">
        <f t="shared" si="0"/>
        <v>110762720</v>
      </c>
      <c r="Q2" s="21">
        <f t="shared" si="0"/>
        <v>204330800</v>
      </c>
    </row>
    <row r="3" spans="1:17" x14ac:dyDescent="0.4">
      <c r="A3" s="41" t="s">
        <v>197</v>
      </c>
      <c r="B3" s="42"/>
      <c r="C3" s="42"/>
      <c r="D3" s="42"/>
      <c r="E3" s="41" t="s">
        <v>198</v>
      </c>
      <c r="F3" s="41" t="s">
        <v>187</v>
      </c>
      <c r="G3" s="42"/>
      <c r="H3" s="41" t="s">
        <v>188</v>
      </c>
      <c r="I3" s="42"/>
      <c r="J3" s="41" t="s">
        <v>189</v>
      </c>
      <c r="K3" s="42"/>
      <c r="L3" s="41" t="s">
        <v>190</v>
      </c>
      <c r="M3" s="42"/>
      <c r="N3" s="41" t="s">
        <v>199</v>
      </c>
      <c r="O3" s="41" t="s">
        <v>200</v>
      </c>
      <c r="P3" s="42"/>
      <c r="Q3" s="42"/>
    </row>
    <row r="4" spans="1:17" ht="31.2" x14ac:dyDescent="0.4">
      <c r="A4" s="6" t="s">
        <v>170</v>
      </c>
      <c r="B4" s="6" t="s">
        <v>57</v>
      </c>
      <c r="C4" s="6" t="s">
        <v>59</v>
      </c>
      <c r="D4" s="6" t="s">
        <v>60</v>
      </c>
      <c r="E4" s="6" t="s">
        <v>198</v>
      </c>
      <c r="F4" s="6" t="s">
        <v>201</v>
      </c>
      <c r="G4" s="6" t="s">
        <v>202</v>
      </c>
      <c r="H4" s="6" t="s">
        <v>201</v>
      </c>
      <c r="I4" s="6" t="s">
        <v>202</v>
      </c>
      <c r="J4" s="6" t="s">
        <v>201</v>
      </c>
      <c r="K4" s="6" t="s">
        <v>202</v>
      </c>
      <c r="L4" s="6" t="s">
        <v>201</v>
      </c>
      <c r="M4" s="6" t="s">
        <v>202</v>
      </c>
      <c r="N4" s="6" t="s">
        <v>202</v>
      </c>
      <c r="O4" s="6" t="s">
        <v>203</v>
      </c>
      <c r="P4" s="6" t="s">
        <v>204</v>
      </c>
      <c r="Q4" s="6" t="s">
        <v>205</v>
      </c>
    </row>
    <row r="5" spans="1:17" x14ac:dyDescent="0.4">
      <c r="A5" s="30">
        <f>급여대장!A5</f>
        <v>46023</v>
      </c>
      <c r="B5" s="17">
        <v>1</v>
      </c>
      <c r="C5" s="25" t="str">
        <f>급여대장!D5</f>
        <v>가온누리</v>
      </c>
      <c r="D5" s="24" t="str">
        <f>급여대장!E5</f>
        <v>대표이사실</v>
      </c>
      <c r="E5" s="29">
        <f>급여대장!V5</f>
        <v>7100000</v>
      </c>
      <c r="F5" s="26">
        <f>TRUNC(MIN(MAX(E5,요율기준!$B$6),요율기준!$B$5)*요율기준!$B$4,-1)</f>
        <v>286650</v>
      </c>
      <c r="G5" s="26">
        <f t="shared" ref="G5:G68" si="1">F5</f>
        <v>286650</v>
      </c>
      <c r="H5" s="26">
        <f>TRUNC(E5*요율기준!$B$7,-1)</f>
        <v>251690</v>
      </c>
      <c r="I5" s="26">
        <f t="shared" ref="I5:I68" si="2">H5</f>
        <v>251690</v>
      </c>
      <c r="J5" s="26">
        <f>TRUNC(H5*요율기준!$B$8,-1)</f>
        <v>32590</v>
      </c>
      <c r="K5" s="26">
        <f t="shared" ref="K5:K68" si="3">J5</f>
        <v>32590</v>
      </c>
      <c r="L5" s="26">
        <f>TRUNC(E5*요율기준!$B$9,-1)</f>
        <v>63900</v>
      </c>
      <c r="M5" s="26">
        <f>TRUNC(E5*요율기준!$B$10,-1)</f>
        <v>81650</v>
      </c>
      <c r="N5" s="26">
        <f>TRUNC(E5*요율기준!$B$11,-1)</f>
        <v>104370</v>
      </c>
      <c r="O5" s="28">
        <f t="shared" ref="O5:O68" si="4">F5+H5+J5+L5</f>
        <v>634830</v>
      </c>
      <c r="P5" s="28">
        <f t="shared" ref="P5:P68" si="5">G5+I5+K5+M5+N5</f>
        <v>756950</v>
      </c>
      <c r="Q5" s="28">
        <f t="shared" ref="Q5:Q68" si="6">O5+P5</f>
        <v>1391780</v>
      </c>
    </row>
    <row r="6" spans="1:17" x14ac:dyDescent="0.4">
      <c r="A6" s="30">
        <f>급여대장!A6</f>
        <v>46054</v>
      </c>
      <c r="B6" s="17">
        <v>1</v>
      </c>
      <c r="C6" s="25" t="str">
        <f>급여대장!D6</f>
        <v>가온누리</v>
      </c>
      <c r="D6" s="24" t="str">
        <f>급여대장!E6</f>
        <v>대표이사실</v>
      </c>
      <c r="E6" s="29">
        <f>급여대장!V6</f>
        <v>7286600</v>
      </c>
      <c r="F6" s="26">
        <f>TRUNC(MIN(MAX(E6,요율기준!$B$6),요율기준!$B$5)*요율기준!$B$4,-1)</f>
        <v>286650</v>
      </c>
      <c r="G6" s="26">
        <f t="shared" si="1"/>
        <v>286650</v>
      </c>
      <c r="H6" s="26">
        <f>TRUNC(E6*요율기준!$B$7,-1)</f>
        <v>258300</v>
      </c>
      <c r="I6" s="26">
        <f t="shared" si="2"/>
        <v>258300</v>
      </c>
      <c r="J6" s="26">
        <f>TRUNC(H6*요율기준!$B$8,-1)</f>
        <v>33440</v>
      </c>
      <c r="K6" s="26">
        <f t="shared" si="3"/>
        <v>33440</v>
      </c>
      <c r="L6" s="26">
        <f>TRUNC(E6*요율기준!$B$9,-1)</f>
        <v>65570</v>
      </c>
      <c r="M6" s="26">
        <f>TRUNC(E6*요율기준!$B$10,-1)</f>
        <v>83790</v>
      </c>
      <c r="N6" s="26">
        <f>TRUNC(E6*요율기준!$B$11,-1)</f>
        <v>107110</v>
      </c>
      <c r="O6" s="28">
        <f t="shared" si="4"/>
        <v>643960</v>
      </c>
      <c r="P6" s="28">
        <f t="shared" si="5"/>
        <v>769290</v>
      </c>
      <c r="Q6" s="28">
        <f t="shared" si="6"/>
        <v>1413250</v>
      </c>
    </row>
    <row r="7" spans="1:17" x14ac:dyDescent="0.4">
      <c r="A7" s="30">
        <f>급여대장!A7</f>
        <v>46082</v>
      </c>
      <c r="B7" s="17">
        <v>1</v>
      </c>
      <c r="C7" s="25" t="str">
        <f>급여대장!D7</f>
        <v>가온누리</v>
      </c>
      <c r="D7" s="24" t="str">
        <f>급여대장!E7</f>
        <v>대표이사실</v>
      </c>
      <c r="E7" s="29">
        <f>급여대장!V7</f>
        <v>7100000</v>
      </c>
      <c r="F7" s="26">
        <f>TRUNC(MIN(MAX(E7,요율기준!$B$6),요율기준!$B$5)*요율기준!$B$4,-1)</f>
        <v>286650</v>
      </c>
      <c r="G7" s="26">
        <f t="shared" si="1"/>
        <v>286650</v>
      </c>
      <c r="H7" s="26">
        <f>TRUNC(E7*요율기준!$B$7,-1)</f>
        <v>251690</v>
      </c>
      <c r="I7" s="26">
        <f t="shared" si="2"/>
        <v>251690</v>
      </c>
      <c r="J7" s="26">
        <f>TRUNC(H7*요율기준!$B$8,-1)</f>
        <v>32590</v>
      </c>
      <c r="K7" s="26">
        <f t="shared" si="3"/>
        <v>32590</v>
      </c>
      <c r="L7" s="26">
        <f>TRUNC(E7*요율기준!$B$9,-1)</f>
        <v>63900</v>
      </c>
      <c r="M7" s="26">
        <f>TRUNC(E7*요율기준!$B$10,-1)</f>
        <v>81650</v>
      </c>
      <c r="N7" s="26">
        <f>TRUNC(E7*요율기준!$B$11,-1)</f>
        <v>104370</v>
      </c>
      <c r="O7" s="28">
        <f t="shared" si="4"/>
        <v>634830</v>
      </c>
      <c r="P7" s="28">
        <f t="shared" si="5"/>
        <v>756950</v>
      </c>
      <c r="Q7" s="28">
        <f t="shared" si="6"/>
        <v>1391780</v>
      </c>
    </row>
    <row r="8" spans="1:17" x14ac:dyDescent="0.4">
      <c r="A8" s="30">
        <f>급여대장!A8</f>
        <v>46113</v>
      </c>
      <c r="B8" s="17">
        <v>1</v>
      </c>
      <c r="C8" s="25" t="str">
        <f>급여대장!D8</f>
        <v>가온누리</v>
      </c>
      <c r="D8" s="24" t="str">
        <f>급여대장!E8</f>
        <v>대표이사실</v>
      </c>
      <c r="E8" s="29">
        <f>급여대장!V8</f>
        <v>7286600</v>
      </c>
      <c r="F8" s="26">
        <f>TRUNC(MIN(MAX(E8,요율기준!$B$6),요율기준!$B$5)*요율기준!$B$4,-1)</f>
        <v>286650</v>
      </c>
      <c r="G8" s="26">
        <f t="shared" si="1"/>
        <v>286650</v>
      </c>
      <c r="H8" s="26">
        <f>TRUNC(E8*요율기준!$B$7,-1)</f>
        <v>258300</v>
      </c>
      <c r="I8" s="26">
        <f t="shared" si="2"/>
        <v>258300</v>
      </c>
      <c r="J8" s="26">
        <f>TRUNC(H8*요율기준!$B$8,-1)</f>
        <v>33440</v>
      </c>
      <c r="K8" s="26">
        <f t="shared" si="3"/>
        <v>33440</v>
      </c>
      <c r="L8" s="26">
        <f>TRUNC(E8*요율기준!$B$9,-1)</f>
        <v>65570</v>
      </c>
      <c r="M8" s="26">
        <f>TRUNC(E8*요율기준!$B$10,-1)</f>
        <v>83790</v>
      </c>
      <c r="N8" s="26">
        <f>TRUNC(E8*요율기준!$B$11,-1)</f>
        <v>107110</v>
      </c>
      <c r="O8" s="28">
        <f t="shared" si="4"/>
        <v>643960</v>
      </c>
      <c r="P8" s="28">
        <f t="shared" si="5"/>
        <v>769290</v>
      </c>
      <c r="Q8" s="28">
        <f t="shared" si="6"/>
        <v>1413250</v>
      </c>
    </row>
    <row r="9" spans="1:17" x14ac:dyDescent="0.4">
      <c r="A9" s="30">
        <f>급여대장!A9</f>
        <v>46143</v>
      </c>
      <c r="B9" s="17">
        <v>1</v>
      </c>
      <c r="C9" s="25" t="str">
        <f>급여대장!D9</f>
        <v>가온누리</v>
      </c>
      <c r="D9" s="24" t="str">
        <f>급여대장!E9</f>
        <v>대표이사실</v>
      </c>
      <c r="E9" s="29">
        <f>급여대장!V9</f>
        <v>7100000</v>
      </c>
      <c r="F9" s="26">
        <f>TRUNC(MIN(MAX(E9,요율기준!$B$6),요율기준!$B$5)*요율기준!$B$4,-1)</f>
        <v>286650</v>
      </c>
      <c r="G9" s="26">
        <f t="shared" si="1"/>
        <v>286650</v>
      </c>
      <c r="H9" s="26">
        <f>TRUNC(E9*요율기준!$B$7,-1)</f>
        <v>251690</v>
      </c>
      <c r="I9" s="26">
        <f t="shared" si="2"/>
        <v>251690</v>
      </c>
      <c r="J9" s="26">
        <f>TRUNC(H9*요율기준!$B$8,-1)</f>
        <v>32590</v>
      </c>
      <c r="K9" s="26">
        <f t="shared" si="3"/>
        <v>32590</v>
      </c>
      <c r="L9" s="26">
        <f>TRUNC(E9*요율기준!$B$9,-1)</f>
        <v>63900</v>
      </c>
      <c r="M9" s="26">
        <f>TRUNC(E9*요율기준!$B$10,-1)</f>
        <v>81650</v>
      </c>
      <c r="N9" s="26">
        <f>TRUNC(E9*요율기준!$B$11,-1)</f>
        <v>104370</v>
      </c>
      <c r="O9" s="28">
        <f t="shared" si="4"/>
        <v>634830</v>
      </c>
      <c r="P9" s="28">
        <f t="shared" si="5"/>
        <v>756950</v>
      </c>
      <c r="Q9" s="28">
        <f t="shared" si="6"/>
        <v>1391780</v>
      </c>
    </row>
    <row r="10" spans="1:17" x14ac:dyDescent="0.4">
      <c r="A10" s="30">
        <f>급여대장!A10</f>
        <v>46174</v>
      </c>
      <c r="B10" s="17">
        <v>1</v>
      </c>
      <c r="C10" s="25" t="str">
        <f>급여대장!D10</f>
        <v>가온누리</v>
      </c>
      <c r="D10" s="24" t="str">
        <f>급여대장!E10</f>
        <v>대표이사실</v>
      </c>
      <c r="E10" s="29">
        <f>급여대장!V10</f>
        <v>7286600</v>
      </c>
      <c r="F10" s="26">
        <f>TRUNC(MIN(MAX(E10,요율기준!$B$6),요율기준!$B$5)*요율기준!$B$4,-1)</f>
        <v>286650</v>
      </c>
      <c r="G10" s="26">
        <f t="shared" si="1"/>
        <v>286650</v>
      </c>
      <c r="H10" s="26">
        <f>TRUNC(E10*요율기준!$B$7,-1)</f>
        <v>258300</v>
      </c>
      <c r="I10" s="26">
        <f t="shared" si="2"/>
        <v>258300</v>
      </c>
      <c r="J10" s="26">
        <f>TRUNC(H10*요율기준!$B$8,-1)</f>
        <v>33440</v>
      </c>
      <c r="K10" s="26">
        <f t="shared" si="3"/>
        <v>33440</v>
      </c>
      <c r="L10" s="26">
        <f>TRUNC(E10*요율기준!$B$9,-1)</f>
        <v>65570</v>
      </c>
      <c r="M10" s="26">
        <f>TRUNC(E10*요율기준!$B$10,-1)</f>
        <v>83790</v>
      </c>
      <c r="N10" s="26">
        <f>TRUNC(E10*요율기준!$B$11,-1)</f>
        <v>107110</v>
      </c>
      <c r="O10" s="28">
        <f t="shared" si="4"/>
        <v>643960</v>
      </c>
      <c r="P10" s="28">
        <f t="shared" si="5"/>
        <v>769290</v>
      </c>
      <c r="Q10" s="28">
        <f t="shared" si="6"/>
        <v>1413250</v>
      </c>
    </row>
    <row r="11" spans="1:17" x14ac:dyDescent="0.4">
      <c r="A11" s="30">
        <f>급여대장!A11</f>
        <v>46204</v>
      </c>
      <c r="B11" s="17">
        <v>1</v>
      </c>
      <c r="C11" s="25" t="str">
        <f>급여대장!D11</f>
        <v>가온누리</v>
      </c>
      <c r="D11" s="24" t="str">
        <f>급여대장!E11</f>
        <v>대표이사실</v>
      </c>
      <c r="E11" s="29">
        <f>급여대장!V11</f>
        <v>7100000</v>
      </c>
      <c r="F11" s="26">
        <f>TRUNC(MIN(MAX(E11,요율기준!$B$6),요율기준!$B$5)*요율기준!$B$4,-1)</f>
        <v>286650</v>
      </c>
      <c r="G11" s="26">
        <f t="shared" si="1"/>
        <v>286650</v>
      </c>
      <c r="H11" s="26">
        <f>TRUNC(E11*요율기준!$B$7,-1)</f>
        <v>251690</v>
      </c>
      <c r="I11" s="26">
        <f t="shared" si="2"/>
        <v>251690</v>
      </c>
      <c r="J11" s="26">
        <f>TRUNC(H11*요율기준!$B$8,-1)</f>
        <v>32590</v>
      </c>
      <c r="K11" s="26">
        <f t="shared" si="3"/>
        <v>32590</v>
      </c>
      <c r="L11" s="26">
        <f>TRUNC(E11*요율기준!$B$9,-1)</f>
        <v>63900</v>
      </c>
      <c r="M11" s="26">
        <f>TRUNC(E11*요율기준!$B$10,-1)</f>
        <v>81650</v>
      </c>
      <c r="N11" s="26">
        <f>TRUNC(E11*요율기준!$B$11,-1)</f>
        <v>104370</v>
      </c>
      <c r="O11" s="28">
        <f t="shared" si="4"/>
        <v>634830</v>
      </c>
      <c r="P11" s="28">
        <f t="shared" si="5"/>
        <v>756950</v>
      </c>
      <c r="Q11" s="28">
        <f t="shared" si="6"/>
        <v>1391780</v>
      </c>
    </row>
    <row r="12" spans="1:17" x14ac:dyDescent="0.4">
      <c r="A12" s="30">
        <f>급여대장!A12</f>
        <v>46235</v>
      </c>
      <c r="B12" s="17">
        <v>1</v>
      </c>
      <c r="C12" s="25" t="str">
        <f>급여대장!D12</f>
        <v>가온누리</v>
      </c>
      <c r="D12" s="24" t="str">
        <f>급여대장!E12</f>
        <v>대표이사실</v>
      </c>
      <c r="E12" s="29">
        <f>급여대장!V12</f>
        <v>7286600</v>
      </c>
      <c r="F12" s="26">
        <f>TRUNC(MIN(MAX(E12,요율기준!$B$6),요율기준!$B$5)*요율기준!$B$4,-1)</f>
        <v>286650</v>
      </c>
      <c r="G12" s="26">
        <f t="shared" si="1"/>
        <v>286650</v>
      </c>
      <c r="H12" s="26">
        <f>TRUNC(E12*요율기준!$B$7,-1)</f>
        <v>258300</v>
      </c>
      <c r="I12" s="26">
        <f t="shared" si="2"/>
        <v>258300</v>
      </c>
      <c r="J12" s="26">
        <f>TRUNC(H12*요율기준!$B$8,-1)</f>
        <v>33440</v>
      </c>
      <c r="K12" s="26">
        <f t="shared" si="3"/>
        <v>33440</v>
      </c>
      <c r="L12" s="26">
        <f>TRUNC(E12*요율기준!$B$9,-1)</f>
        <v>65570</v>
      </c>
      <c r="M12" s="26">
        <f>TRUNC(E12*요율기준!$B$10,-1)</f>
        <v>83790</v>
      </c>
      <c r="N12" s="26">
        <f>TRUNC(E12*요율기준!$B$11,-1)</f>
        <v>107110</v>
      </c>
      <c r="O12" s="28">
        <f t="shared" si="4"/>
        <v>643960</v>
      </c>
      <c r="P12" s="28">
        <f t="shared" si="5"/>
        <v>769290</v>
      </c>
      <c r="Q12" s="28">
        <f t="shared" si="6"/>
        <v>1413250</v>
      </c>
    </row>
    <row r="13" spans="1:17" x14ac:dyDescent="0.4">
      <c r="A13" s="30">
        <f>급여대장!A13</f>
        <v>46266</v>
      </c>
      <c r="B13" s="17">
        <v>1</v>
      </c>
      <c r="C13" s="25" t="str">
        <f>급여대장!D13</f>
        <v>가온누리</v>
      </c>
      <c r="D13" s="24" t="str">
        <f>급여대장!E13</f>
        <v>대표이사실</v>
      </c>
      <c r="E13" s="29">
        <f>급여대장!V13</f>
        <v>7100000</v>
      </c>
      <c r="F13" s="26">
        <f>TRUNC(MIN(MAX(E13,요율기준!$B$6),요율기준!$B$5)*요율기준!$B$4,-1)</f>
        <v>286650</v>
      </c>
      <c r="G13" s="26">
        <f t="shared" si="1"/>
        <v>286650</v>
      </c>
      <c r="H13" s="26">
        <f>TRUNC(E13*요율기준!$B$7,-1)</f>
        <v>251690</v>
      </c>
      <c r="I13" s="26">
        <f t="shared" si="2"/>
        <v>251690</v>
      </c>
      <c r="J13" s="26">
        <f>TRUNC(H13*요율기준!$B$8,-1)</f>
        <v>32590</v>
      </c>
      <c r="K13" s="26">
        <f t="shared" si="3"/>
        <v>32590</v>
      </c>
      <c r="L13" s="26">
        <f>TRUNC(E13*요율기준!$B$9,-1)</f>
        <v>63900</v>
      </c>
      <c r="M13" s="26">
        <f>TRUNC(E13*요율기준!$B$10,-1)</f>
        <v>81650</v>
      </c>
      <c r="N13" s="26">
        <f>TRUNC(E13*요율기준!$B$11,-1)</f>
        <v>104370</v>
      </c>
      <c r="O13" s="28">
        <f t="shared" si="4"/>
        <v>634830</v>
      </c>
      <c r="P13" s="28">
        <f t="shared" si="5"/>
        <v>756950</v>
      </c>
      <c r="Q13" s="28">
        <f t="shared" si="6"/>
        <v>1391780</v>
      </c>
    </row>
    <row r="14" spans="1:17" x14ac:dyDescent="0.4">
      <c r="A14" s="30">
        <f>급여대장!A14</f>
        <v>46296</v>
      </c>
      <c r="B14" s="17">
        <v>1</v>
      </c>
      <c r="C14" s="25" t="str">
        <f>급여대장!D14</f>
        <v>가온누리</v>
      </c>
      <c r="D14" s="24" t="str">
        <f>급여대장!E14</f>
        <v>대표이사실</v>
      </c>
      <c r="E14" s="29">
        <f>급여대장!V14</f>
        <v>7286600</v>
      </c>
      <c r="F14" s="26">
        <f>TRUNC(MIN(MAX(E14,요율기준!$B$6),요율기준!$B$5)*요율기준!$B$4,-1)</f>
        <v>286650</v>
      </c>
      <c r="G14" s="26">
        <f t="shared" si="1"/>
        <v>286650</v>
      </c>
      <c r="H14" s="26">
        <f>TRUNC(E14*요율기준!$B$7,-1)</f>
        <v>258300</v>
      </c>
      <c r="I14" s="26">
        <f t="shared" si="2"/>
        <v>258300</v>
      </c>
      <c r="J14" s="26">
        <f>TRUNC(H14*요율기준!$B$8,-1)</f>
        <v>33440</v>
      </c>
      <c r="K14" s="26">
        <f t="shared" si="3"/>
        <v>33440</v>
      </c>
      <c r="L14" s="26">
        <f>TRUNC(E14*요율기준!$B$9,-1)</f>
        <v>65570</v>
      </c>
      <c r="M14" s="26">
        <f>TRUNC(E14*요율기준!$B$10,-1)</f>
        <v>83790</v>
      </c>
      <c r="N14" s="26">
        <f>TRUNC(E14*요율기준!$B$11,-1)</f>
        <v>107110</v>
      </c>
      <c r="O14" s="28">
        <f t="shared" si="4"/>
        <v>643960</v>
      </c>
      <c r="P14" s="28">
        <f t="shared" si="5"/>
        <v>769290</v>
      </c>
      <c r="Q14" s="28">
        <f t="shared" si="6"/>
        <v>1413250</v>
      </c>
    </row>
    <row r="15" spans="1:17" x14ac:dyDescent="0.4">
      <c r="A15" s="30">
        <f>급여대장!A15</f>
        <v>46327</v>
      </c>
      <c r="B15" s="17">
        <v>1</v>
      </c>
      <c r="C15" s="25" t="str">
        <f>급여대장!D15</f>
        <v>가온누리</v>
      </c>
      <c r="D15" s="24" t="str">
        <f>급여대장!E15</f>
        <v>대표이사실</v>
      </c>
      <c r="E15" s="29">
        <f>급여대장!V15</f>
        <v>7100000</v>
      </c>
      <c r="F15" s="26">
        <f>TRUNC(MIN(MAX(E15,요율기준!$B$6),요율기준!$B$5)*요율기준!$B$4,-1)</f>
        <v>286650</v>
      </c>
      <c r="G15" s="26">
        <f t="shared" si="1"/>
        <v>286650</v>
      </c>
      <c r="H15" s="26">
        <f>TRUNC(E15*요율기준!$B$7,-1)</f>
        <v>251690</v>
      </c>
      <c r="I15" s="26">
        <f t="shared" si="2"/>
        <v>251690</v>
      </c>
      <c r="J15" s="26">
        <f>TRUNC(H15*요율기준!$B$8,-1)</f>
        <v>32590</v>
      </c>
      <c r="K15" s="26">
        <f t="shared" si="3"/>
        <v>32590</v>
      </c>
      <c r="L15" s="26">
        <f>TRUNC(E15*요율기준!$B$9,-1)</f>
        <v>63900</v>
      </c>
      <c r="M15" s="26">
        <f>TRUNC(E15*요율기준!$B$10,-1)</f>
        <v>81650</v>
      </c>
      <c r="N15" s="26">
        <f>TRUNC(E15*요율기준!$B$11,-1)</f>
        <v>104370</v>
      </c>
      <c r="O15" s="28">
        <f t="shared" si="4"/>
        <v>634830</v>
      </c>
      <c r="P15" s="28">
        <f t="shared" si="5"/>
        <v>756950</v>
      </c>
      <c r="Q15" s="28">
        <f t="shared" si="6"/>
        <v>1391780</v>
      </c>
    </row>
    <row r="16" spans="1:17" x14ac:dyDescent="0.4">
      <c r="A16" s="30">
        <f>급여대장!A16</f>
        <v>46357</v>
      </c>
      <c r="B16" s="17">
        <v>1</v>
      </c>
      <c r="C16" s="25" t="str">
        <f>급여대장!D16</f>
        <v>가온누리</v>
      </c>
      <c r="D16" s="24" t="str">
        <f>급여대장!E16</f>
        <v>대표이사실</v>
      </c>
      <c r="E16" s="29">
        <f>급여대장!V16</f>
        <v>7286600</v>
      </c>
      <c r="F16" s="26">
        <f>TRUNC(MIN(MAX(E16,요율기준!$B$6),요율기준!$B$5)*요율기준!$B$4,-1)</f>
        <v>286650</v>
      </c>
      <c r="G16" s="26">
        <f t="shared" si="1"/>
        <v>286650</v>
      </c>
      <c r="H16" s="26">
        <f>TRUNC(E16*요율기준!$B$7,-1)</f>
        <v>258300</v>
      </c>
      <c r="I16" s="26">
        <f t="shared" si="2"/>
        <v>258300</v>
      </c>
      <c r="J16" s="26">
        <f>TRUNC(H16*요율기준!$B$8,-1)</f>
        <v>33440</v>
      </c>
      <c r="K16" s="26">
        <f t="shared" si="3"/>
        <v>33440</v>
      </c>
      <c r="L16" s="26">
        <f>TRUNC(E16*요율기준!$B$9,-1)</f>
        <v>65570</v>
      </c>
      <c r="M16" s="26">
        <f>TRUNC(E16*요율기준!$B$10,-1)</f>
        <v>83790</v>
      </c>
      <c r="N16" s="26">
        <f>TRUNC(E16*요율기준!$B$11,-1)</f>
        <v>107110</v>
      </c>
      <c r="O16" s="28">
        <f t="shared" si="4"/>
        <v>643960</v>
      </c>
      <c r="P16" s="28">
        <f t="shared" si="5"/>
        <v>769290</v>
      </c>
      <c r="Q16" s="28">
        <f t="shared" si="6"/>
        <v>1413250</v>
      </c>
    </row>
    <row r="17" spans="1:17" x14ac:dyDescent="0.4">
      <c r="A17" s="30">
        <f>급여대장!A17</f>
        <v>46023</v>
      </c>
      <c r="B17" s="17">
        <v>2</v>
      </c>
      <c r="C17" s="25" t="str">
        <f>급여대장!D17</f>
        <v>나래솔</v>
      </c>
      <c r="D17" s="24" t="str">
        <f>급여대장!E17</f>
        <v>대표이사실</v>
      </c>
      <c r="E17" s="29">
        <f>급여대장!V17</f>
        <v>5749280</v>
      </c>
      <c r="F17" s="26">
        <f>TRUNC(MIN(MAX(E17,요율기준!$B$6),요율기준!$B$5)*요율기준!$B$4,-1)</f>
        <v>258710</v>
      </c>
      <c r="G17" s="26">
        <f t="shared" si="1"/>
        <v>258710</v>
      </c>
      <c r="H17" s="26">
        <f>TRUNC(E17*요율기준!$B$7,-1)</f>
        <v>203810</v>
      </c>
      <c r="I17" s="26">
        <f t="shared" si="2"/>
        <v>203810</v>
      </c>
      <c r="J17" s="26">
        <f>TRUNC(H17*요율기준!$B$8,-1)</f>
        <v>26390</v>
      </c>
      <c r="K17" s="26">
        <f t="shared" si="3"/>
        <v>26390</v>
      </c>
      <c r="L17" s="26">
        <f>TRUNC(E17*요율기준!$B$9,-1)</f>
        <v>51740</v>
      </c>
      <c r="M17" s="26">
        <f>TRUNC(E17*요율기준!$B$10,-1)</f>
        <v>66110</v>
      </c>
      <c r="N17" s="26">
        <f>TRUNC(E17*요율기준!$B$11,-1)</f>
        <v>84510</v>
      </c>
      <c r="O17" s="28">
        <f t="shared" si="4"/>
        <v>540650</v>
      </c>
      <c r="P17" s="28">
        <f t="shared" si="5"/>
        <v>639530</v>
      </c>
      <c r="Q17" s="28">
        <f t="shared" si="6"/>
        <v>1180180</v>
      </c>
    </row>
    <row r="18" spans="1:17" x14ac:dyDescent="0.4">
      <c r="A18" s="30">
        <f>급여대장!A18</f>
        <v>46054</v>
      </c>
      <c r="B18" s="17">
        <v>2</v>
      </c>
      <c r="C18" s="25" t="str">
        <f>급여대장!D18</f>
        <v>나래솔</v>
      </c>
      <c r="D18" s="24" t="str">
        <f>급여대장!E18</f>
        <v>대표이사실</v>
      </c>
      <c r="E18" s="29">
        <f>급여대장!V18</f>
        <v>5600000</v>
      </c>
      <c r="F18" s="26">
        <f>TRUNC(MIN(MAX(E18,요율기준!$B$6),요율기준!$B$5)*요율기준!$B$4,-1)</f>
        <v>252000</v>
      </c>
      <c r="G18" s="26">
        <f t="shared" si="1"/>
        <v>252000</v>
      </c>
      <c r="H18" s="26">
        <f>TRUNC(E18*요율기준!$B$7,-1)</f>
        <v>198520</v>
      </c>
      <c r="I18" s="26">
        <f t="shared" si="2"/>
        <v>198520</v>
      </c>
      <c r="J18" s="26">
        <f>TRUNC(H18*요율기준!$B$8,-1)</f>
        <v>25700</v>
      </c>
      <c r="K18" s="26">
        <f t="shared" si="3"/>
        <v>25700</v>
      </c>
      <c r="L18" s="26">
        <f>TRUNC(E18*요율기준!$B$9,-1)</f>
        <v>50400</v>
      </c>
      <c r="M18" s="26">
        <f>TRUNC(E18*요율기준!$B$10,-1)</f>
        <v>64400</v>
      </c>
      <c r="N18" s="26">
        <f>TRUNC(E18*요율기준!$B$11,-1)</f>
        <v>82320</v>
      </c>
      <c r="O18" s="28">
        <f t="shared" si="4"/>
        <v>526620</v>
      </c>
      <c r="P18" s="28">
        <f t="shared" si="5"/>
        <v>622940</v>
      </c>
      <c r="Q18" s="28">
        <f t="shared" si="6"/>
        <v>1149560</v>
      </c>
    </row>
    <row r="19" spans="1:17" x14ac:dyDescent="0.4">
      <c r="A19" s="30">
        <f>급여대장!A19</f>
        <v>46082</v>
      </c>
      <c r="B19" s="17">
        <v>2</v>
      </c>
      <c r="C19" s="25" t="str">
        <f>급여대장!D19</f>
        <v>나래솔</v>
      </c>
      <c r="D19" s="24" t="str">
        <f>급여대장!E19</f>
        <v>대표이사실</v>
      </c>
      <c r="E19" s="29">
        <f>급여대장!V19</f>
        <v>5749280</v>
      </c>
      <c r="F19" s="26">
        <f>TRUNC(MIN(MAX(E19,요율기준!$B$6),요율기준!$B$5)*요율기준!$B$4,-1)</f>
        <v>258710</v>
      </c>
      <c r="G19" s="26">
        <f t="shared" si="1"/>
        <v>258710</v>
      </c>
      <c r="H19" s="26">
        <f>TRUNC(E19*요율기준!$B$7,-1)</f>
        <v>203810</v>
      </c>
      <c r="I19" s="26">
        <f t="shared" si="2"/>
        <v>203810</v>
      </c>
      <c r="J19" s="26">
        <f>TRUNC(H19*요율기준!$B$8,-1)</f>
        <v>26390</v>
      </c>
      <c r="K19" s="26">
        <f t="shared" si="3"/>
        <v>26390</v>
      </c>
      <c r="L19" s="26">
        <f>TRUNC(E19*요율기준!$B$9,-1)</f>
        <v>51740</v>
      </c>
      <c r="M19" s="26">
        <f>TRUNC(E19*요율기준!$B$10,-1)</f>
        <v>66110</v>
      </c>
      <c r="N19" s="26">
        <f>TRUNC(E19*요율기준!$B$11,-1)</f>
        <v>84510</v>
      </c>
      <c r="O19" s="28">
        <f t="shared" si="4"/>
        <v>540650</v>
      </c>
      <c r="P19" s="28">
        <f t="shared" si="5"/>
        <v>639530</v>
      </c>
      <c r="Q19" s="28">
        <f t="shared" si="6"/>
        <v>1180180</v>
      </c>
    </row>
    <row r="20" spans="1:17" x14ac:dyDescent="0.4">
      <c r="A20" s="30">
        <f>급여대장!A20</f>
        <v>46113</v>
      </c>
      <c r="B20" s="17">
        <v>2</v>
      </c>
      <c r="C20" s="25" t="str">
        <f>급여대장!D20</f>
        <v>나래솔</v>
      </c>
      <c r="D20" s="24" t="str">
        <f>급여대장!E20</f>
        <v>대표이사실</v>
      </c>
      <c r="E20" s="29">
        <f>급여대장!V20</f>
        <v>5600000</v>
      </c>
      <c r="F20" s="26">
        <f>TRUNC(MIN(MAX(E20,요율기준!$B$6),요율기준!$B$5)*요율기준!$B$4,-1)</f>
        <v>252000</v>
      </c>
      <c r="G20" s="26">
        <f t="shared" si="1"/>
        <v>252000</v>
      </c>
      <c r="H20" s="26">
        <f>TRUNC(E20*요율기준!$B$7,-1)</f>
        <v>198520</v>
      </c>
      <c r="I20" s="26">
        <f t="shared" si="2"/>
        <v>198520</v>
      </c>
      <c r="J20" s="26">
        <f>TRUNC(H20*요율기준!$B$8,-1)</f>
        <v>25700</v>
      </c>
      <c r="K20" s="26">
        <f t="shared" si="3"/>
        <v>25700</v>
      </c>
      <c r="L20" s="26">
        <f>TRUNC(E20*요율기준!$B$9,-1)</f>
        <v>50400</v>
      </c>
      <c r="M20" s="26">
        <f>TRUNC(E20*요율기준!$B$10,-1)</f>
        <v>64400</v>
      </c>
      <c r="N20" s="26">
        <f>TRUNC(E20*요율기준!$B$11,-1)</f>
        <v>82320</v>
      </c>
      <c r="O20" s="28">
        <f t="shared" si="4"/>
        <v>526620</v>
      </c>
      <c r="P20" s="28">
        <f t="shared" si="5"/>
        <v>622940</v>
      </c>
      <c r="Q20" s="28">
        <f t="shared" si="6"/>
        <v>1149560</v>
      </c>
    </row>
    <row r="21" spans="1:17" x14ac:dyDescent="0.4">
      <c r="A21" s="30">
        <f>급여대장!A21</f>
        <v>46143</v>
      </c>
      <c r="B21" s="17">
        <v>2</v>
      </c>
      <c r="C21" s="25" t="str">
        <f>급여대장!D21</f>
        <v>나래솔</v>
      </c>
      <c r="D21" s="24" t="str">
        <f>급여대장!E21</f>
        <v>대표이사실</v>
      </c>
      <c r="E21" s="29">
        <f>급여대장!V21</f>
        <v>5749280</v>
      </c>
      <c r="F21" s="26">
        <f>TRUNC(MIN(MAX(E21,요율기준!$B$6),요율기준!$B$5)*요율기준!$B$4,-1)</f>
        <v>258710</v>
      </c>
      <c r="G21" s="26">
        <f t="shared" si="1"/>
        <v>258710</v>
      </c>
      <c r="H21" s="26">
        <f>TRUNC(E21*요율기준!$B$7,-1)</f>
        <v>203810</v>
      </c>
      <c r="I21" s="26">
        <f t="shared" si="2"/>
        <v>203810</v>
      </c>
      <c r="J21" s="26">
        <f>TRUNC(H21*요율기준!$B$8,-1)</f>
        <v>26390</v>
      </c>
      <c r="K21" s="26">
        <f t="shared" si="3"/>
        <v>26390</v>
      </c>
      <c r="L21" s="26">
        <f>TRUNC(E21*요율기준!$B$9,-1)</f>
        <v>51740</v>
      </c>
      <c r="M21" s="26">
        <f>TRUNC(E21*요율기준!$B$10,-1)</f>
        <v>66110</v>
      </c>
      <c r="N21" s="26">
        <f>TRUNC(E21*요율기준!$B$11,-1)</f>
        <v>84510</v>
      </c>
      <c r="O21" s="28">
        <f t="shared" si="4"/>
        <v>540650</v>
      </c>
      <c r="P21" s="28">
        <f t="shared" si="5"/>
        <v>639530</v>
      </c>
      <c r="Q21" s="28">
        <f t="shared" si="6"/>
        <v>1180180</v>
      </c>
    </row>
    <row r="22" spans="1:17" x14ac:dyDescent="0.4">
      <c r="A22" s="30">
        <f>급여대장!A22</f>
        <v>46174</v>
      </c>
      <c r="B22" s="17">
        <v>2</v>
      </c>
      <c r="C22" s="25" t="str">
        <f>급여대장!D22</f>
        <v>나래솔</v>
      </c>
      <c r="D22" s="24" t="str">
        <f>급여대장!E22</f>
        <v>대표이사실</v>
      </c>
      <c r="E22" s="29">
        <f>급여대장!V22</f>
        <v>5600000</v>
      </c>
      <c r="F22" s="26">
        <f>TRUNC(MIN(MAX(E22,요율기준!$B$6),요율기준!$B$5)*요율기준!$B$4,-1)</f>
        <v>252000</v>
      </c>
      <c r="G22" s="26">
        <f t="shared" si="1"/>
        <v>252000</v>
      </c>
      <c r="H22" s="26">
        <f>TRUNC(E22*요율기준!$B$7,-1)</f>
        <v>198520</v>
      </c>
      <c r="I22" s="26">
        <f t="shared" si="2"/>
        <v>198520</v>
      </c>
      <c r="J22" s="26">
        <f>TRUNC(H22*요율기준!$B$8,-1)</f>
        <v>25700</v>
      </c>
      <c r="K22" s="26">
        <f t="shared" si="3"/>
        <v>25700</v>
      </c>
      <c r="L22" s="26">
        <f>TRUNC(E22*요율기준!$B$9,-1)</f>
        <v>50400</v>
      </c>
      <c r="M22" s="26">
        <f>TRUNC(E22*요율기준!$B$10,-1)</f>
        <v>64400</v>
      </c>
      <c r="N22" s="26">
        <f>TRUNC(E22*요율기준!$B$11,-1)</f>
        <v>82320</v>
      </c>
      <c r="O22" s="28">
        <f t="shared" si="4"/>
        <v>526620</v>
      </c>
      <c r="P22" s="28">
        <f t="shared" si="5"/>
        <v>622940</v>
      </c>
      <c r="Q22" s="28">
        <f t="shared" si="6"/>
        <v>1149560</v>
      </c>
    </row>
    <row r="23" spans="1:17" x14ac:dyDescent="0.4">
      <c r="A23" s="30">
        <f>급여대장!A23</f>
        <v>46204</v>
      </c>
      <c r="B23" s="17">
        <v>2</v>
      </c>
      <c r="C23" s="25" t="str">
        <f>급여대장!D23</f>
        <v>나래솔</v>
      </c>
      <c r="D23" s="24" t="str">
        <f>급여대장!E23</f>
        <v>대표이사실</v>
      </c>
      <c r="E23" s="29">
        <f>급여대장!V23</f>
        <v>5749280</v>
      </c>
      <c r="F23" s="26">
        <f>TRUNC(MIN(MAX(E23,요율기준!$B$6),요율기준!$B$5)*요율기준!$B$4,-1)</f>
        <v>258710</v>
      </c>
      <c r="G23" s="26">
        <f t="shared" si="1"/>
        <v>258710</v>
      </c>
      <c r="H23" s="26">
        <f>TRUNC(E23*요율기준!$B$7,-1)</f>
        <v>203810</v>
      </c>
      <c r="I23" s="26">
        <f t="shared" si="2"/>
        <v>203810</v>
      </c>
      <c r="J23" s="26">
        <f>TRUNC(H23*요율기준!$B$8,-1)</f>
        <v>26390</v>
      </c>
      <c r="K23" s="26">
        <f t="shared" si="3"/>
        <v>26390</v>
      </c>
      <c r="L23" s="26">
        <f>TRUNC(E23*요율기준!$B$9,-1)</f>
        <v>51740</v>
      </c>
      <c r="M23" s="26">
        <f>TRUNC(E23*요율기준!$B$10,-1)</f>
        <v>66110</v>
      </c>
      <c r="N23" s="26">
        <f>TRUNC(E23*요율기준!$B$11,-1)</f>
        <v>84510</v>
      </c>
      <c r="O23" s="28">
        <f t="shared" si="4"/>
        <v>540650</v>
      </c>
      <c r="P23" s="28">
        <f t="shared" si="5"/>
        <v>639530</v>
      </c>
      <c r="Q23" s="28">
        <f t="shared" si="6"/>
        <v>1180180</v>
      </c>
    </row>
    <row r="24" spans="1:17" x14ac:dyDescent="0.4">
      <c r="A24" s="30">
        <f>급여대장!A24</f>
        <v>46235</v>
      </c>
      <c r="B24" s="17">
        <v>2</v>
      </c>
      <c r="C24" s="25" t="str">
        <f>급여대장!D24</f>
        <v>나래솔</v>
      </c>
      <c r="D24" s="24" t="str">
        <f>급여대장!E24</f>
        <v>대표이사실</v>
      </c>
      <c r="E24" s="29">
        <f>급여대장!V24</f>
        <v>5600000</v>
      </c>
      <c r="F24" s="26">
        <f>TRUNC(MIN(MAX(E24,요율기준!$B$6),요율기준!$B$5)*요율기준!$B$4,-1)</f>
        <v>252000</v>
      </c>
      <c r="G24" s="26">
        <f t="shared" si="1"/>
        <v>252000</v>
      </c>
      <c r="H24" s="26">
        <f>TRUNC(E24*요율기준!$B$7,-1)</f>
        <v>198520</v>
      </c>
      <c r="I24" s="26">
        <f t="shared" si="2"/>
        <v>198520</v>
      </c>
      <c r="J24" s="26">
        <f>TRUNC(H24*요율기준!$B$8,-1)</f>
        <v>25700</v>
      </c>
      <c r="K24" s="26">
        <f t="shared" si="3"/>
        <v>25700</v>
      </c>
      <c r="L24" s="26">
        <f>TRUNC(E24*요율기준!$B$9,-1)</f>
        <v>50400</v>
      </c>
      <c r="M24" s="26">
        <f>TRUNC(E24*요율기준!$B$10,-1)</f>
        <v>64400</v>
      </c>
      <c r="N24" s="26">
        <f>TRUNC(E24*요율기준!$B$11,-1)</f>
        <v>82320</v>
      </c>
      <c r="O24" s="28">
        <f t="shared" si="4"/>
        <v>526620</v>
      </c>
      <c r="P24" s="28">
        <f t="shared" si="5"/>
        <v>622940</v>
      </c>
      <c r="Q24" s="28">
        <f t="shared" si="6"/>
        <v>1149560</v>
      </c>
    </row>
    <row r="25" spans="1:17" x14ac:dyDescent="0.4">
      <c r="A25" s="30">
        <f>급여대장!A25</f>
        <v>46266</v>
      </c>
      <c r="B25" s="17">
        <v>2</v>
      </c>
      <c r="C25" s="25" t="str">
        <f>급여대장!D25</f>
        <v>나래솔</v>
      </c>
      <c r="D25" s="24" t="str">
        <f>급여대장!E25</f>
        <v>대표이사실</v>
      </c>
      <c r="E25" s="29">
        <f>급여대장!V25</f>
        <v>5749280</v>
      </c>
      <c r="F25" s="26">
        <f>TRUNC(MIN(MAX(E25,요율기준!$B$6),요율기준!$B$5)*요율기준!$B$4,-1)</f>
        <v>258710</v>
      </c>
      <c r="G25" s="26">
        <f t="shared" si="1"/>
        <v>258710</v>
      </c>
      <c r="H25" s="26">
        <f>TRUNC(E25*요율기준!$B$7,-1)</f>
        <v>203810</v>
      </c>
      <c r="I25" s="26">
        <f t="shared" si="2"/>
        <v>203810</v>
      </c>
      <c r="J25" s="26">
        <f>TRUNC(H25*요율기준!$B$8,-1)</f>
        <v>26390</v>
      </c>
      <c r="K25" s="26">
        <f t="shared" si="3"/>
        <v>26390</v>
      </c>
      <c r="L25" s="26">
        <f>TRUNC(E25*요율기준!$B$9,-1)</f>
        <v>51740</v>
      </c>
      <c r="M25" s="26">
        <f>TRUNC(E25*요율기준!$B$10,-1)</f>
        <v>66110</v>
      </c>
      <c r="N25" s="26">
        <f>TRUNC(E25*요율기준!$B$11,-1)</f>
        <v>84510</v>
      </c>
      <c r="O25" s="28">
        <f t="shared" si="4"/>
        <v>540650</v>
      </c>
      <c r="P25" s="28">
        <f t="shared" si="5"/>
        <v>639530</v>
      </c>
      <c r="Q25" s="28">
        <f t="shared" si="6"/>
        <v>1180180</v>
      </c>
    </row>
    <row r="26" spans="1:17" x14ac:dyDescent="0.4">
      <c r="A26" s="30">
        <f>급여대장!A26</f>
        <v>46296</v>
      </c>
      <c r="B26" s="17">
        <v>2</v>
      </c>
      <c r="C26" s="25" t="str">
        <f>급여대장!D26</f>
        <v>나래솔</v>
      </c>
      <c r="D26" s="24" t="str">
        <f>급여대장!E26</f>
        <v>대표이사실</v>
      </c>
      <c r="E26" s="29">
        <f>급여대장!V26</f>
        <v>5600000</v>
      </c>
      <c r="F26" s="26">
        <f>TRUNC(MIN(MAX(E26,요율기준!$B$6),요율기준!$B$5)*요율기준!$B$4,-1)</f>
        <v>252000</v>
      </c>
      <c r="G26" s="26">
        <f t="shared" si="1"/>
        <v>252000</v>
      </c>
      <c r="H26" s="26">
        <f>TRUNC(E26*요율기준!$B$7,-1)</f>
        <v>198520</v>
      </c>
      <c r="I26" s="26">
        <f t="shared" si="2"/>
        <v>198520</v>
      </c>
      <c r="J26" s="26">
        <f>TRUNC(H26*요율기준!$B$8,-1)</f>
        <v>25700</v>
      </c>
      <c r="K26" s="26">
        <f t="shared" si="3"/>
        <v>25700</v>
      </c>
      <c r="L26" s="26">
        <f>TRUNC(E26*요율기준!$B$9,-1)</f>
        <v>50400</v>
      </c>
      <c r="M26" s="26">
        <f>TRUNC(E26*요율기준!$B$10,-1)</f>
        <v>64400</v>
      </c>
      <c r="N26" s="26">
        <f>TRUNC(E26*요율기준!$B$11,-1)</f>
        <v>82320</v>
      </c>
      <c r="O26" s="28">
        <f t="shared" si="4"/>
        <v>526620</v>
      </c>
      <c r="P26" s="28">
        <f t="shared" si="5"/>
        <v>622940</v>
      </c>
      <c r="Q26" s="28">
        <f t="shared" si="6"/>
        <v>1149560</v>
      </c>
    </row>
    <row r="27" spans="1:17" x14ac:dyDescent="0.4">
      <c r="A27" s="30">
        <f>급여대장!A27</f>
        <v>46327</v>
      </c>
      <c r="B27" s="17">
        <v>2</v>
      </c>
      <c r="C27" s="25" t="str">
        <f>급여대장!D27</f>
        <v>나래솔</v>
      </c>
      <c r="D27" s="24" t="str">
        <f>급여대장!E27</f>
        <v>대표이사실</v>
      </c>
      <c r="E27" s="29">
        <f>급여대장!V27</f>
        <v>5749280</v>
      </c>
      <c r="F27" s="26">
        <f>TRUNC(MIN(MAX(E27,요율기준!$B$6),요율기준!$B$5)*요율기준!$B$4,-1)</f>
        <v>258710</v>
      </c>
      <c r="G27" s="26">
        <f t="shared" si="1"/>
        <v>258710</v>
      </c>
      <c r="H27" s="26">
        <f>TRUNC(E27*요율기준!$B$7,-1)</f>
        <v>203810</v>
      </c>
      <c r="I27" s="26">
        <f t="shared" si="2"/>
        <v>203810</v>
      </c>
      <c r="J27" s="26">
        <f>TRUNC(H27*요율기준!$B$8,-1)</f>
        <v>26390</v>
      </c>
      <c r="K27" s="26">
        <f t="shared" si="3"/>
        <v>26390</v>
      </c>
      <c r="L27" s="26">
        <f>TRUNC(E27*요율기준!$B$9,-1)</f>
        <v>51740</v>
      </c>
      <c r="M27" s="26">
        <f>TRUNC(E27*요율기준!$B$10,-1)</f>
        <v>66110</v>
      </c>
      <c r="N27" s="26">
        <f>TRUNC(E27*요율기준!$B$11,-1)</f>
        <v>84510</v>
      </c>
      <c r="O27" s="28">
        <f t="shared" si="4"/>
        <v>540650</v>
      </c>
      <c r="P27" s="28">
        <f t="shared" si="5"/>
        <v>639530</v>
      </c>
      <c r="Q27" s="28">
        <f t="shared" si="6"/>
        <v>1180180</v>
      </c>
    </row>
    <row r="28" spans="1:17" x14ac:dyDescent="0.4">
      <c r="A28" s="30">
        <f>급여대장!A28</f>
        <v>46357</v>
      </c>
      <c r="B28" s="17">
        <v>2</v>
      </c>
      <c r="C28" s="25" t="str">
        <f>급여대장!D28</f>
        <v>나래솔</v>
      </c>
      <c r="D28" s="24" t="str">
        <f>급여대장!E28</f>
        <v>대표이사실</v>
      </c>
      <c r="E28" s="29">
        <f>급여대장!V28</f>
        <v>5600000</v>
      </c>
      <c r="F28" s="26">
        <f>TRUNC(MIN(MAX(E28,요율기준!$B$6),요율기준!$B$5)*요율기준!$B$4,-1)</f>
        <v>252000</v>
      </c>
      <c r="G28" s="26">
        <f t="shared" si="1"/>
        <v>252000</v>
      </c>
      <c r="H28" s="26">
        <f>TRUNC(E28*요율기준!$B$7,-1)</f>
        <v>198520</v>
      </c>
      <c r="I28" s="26">
        <f t="shared" si="2"/>
        <v>198520</v>
      </c>
      <c r="J28" s="26">
        <f>TRUNC(H28*요율기준!$B$8,-1)</f>
        <v>25700</v>
      </c>
      <c r="K28" s="26">
        <f t="shared" si="3"/>
        <v>25700</v>
      </c>
      <c r="L28" s="26">
        <f>TRUNC(E28*요율기준!$B$9,-1)</f>
        <v>50400</v>
      </c>
      <c r="M28" s="26">
        <f>TRUNC(E28*요율기준!$B$10,-1)</f>
        <v>64400</v>
      </c>
      <c r="N28" s="26">
        <f>TRUNC(E28*요율기준!$B$11,-1)</f>
        <v>82320</v>
      </c>
      <c r="O28" s="28">
        <f t="shared" si="4"/>
        <v>526620</v>
      </c>
      <c r="P28" s="28">
        <f t="shared" si="5"/>
        <v>622940</v>
      </c>
      <c r="Q28" s="28">
        <f t="shared" si="6"/>
        <v>1149560</v>
      </c>
    </row>
    <row r="29" spans="1:17" x14ac:dyDescent="0.4">
      <c r="A29" s="30">
        <f>급여대장!A29</f>
        <v>46023</v>
      </c>
      <c r="B29" s="17">
        <v>3</v>
      </c>
      <c r="C29" s="25" t="str">
        <f>급여대장!D29</f>
        <v>다올찬</v>
      </c>
      <c r="D29" s="24" t="str">
        <f>급여대장!E29</f>
        <v>경영지원팀</v>
      </c>
      <c r="E29" s="29">
        <f>급여대장!V29</f>
        <v>5700000</v>
      </c>
      <c r="F29" s="26">
        <f>TRUNC(MIN(MAX(E29,요율기준!$B$6),요율기준!$B$5)*요율기준!$B$4,-1)</f>
        <v>256500</v>
      </c>
      <c r="G29" s="26">
        <f t="shared" si="1"/>
        <v>256500</v>
      </c>
      <c r="H29" s="26">
        <f>TRUNC(E29*요율기준!$B$7,-1)</f>
        <v>202060</v>
      </c>
      <c r="I29" s="26">
        <f t="shared" si="2"/>
        <v>202060</v>
      </c>
      <c r="J29" s="26">
        <f>TRUNC(H29*요율기준!$B$8,-1)</f>
        <v>26160</v>
      </c>
      <c r="K29" s="26">
        <f t="shared" si="3"/>
        <v>26160</v>
      </c>
      <c r="L29" s="26">
        <f>TRUNC(E29*요율기준!$B$9,-1)</f>
        <v>51300</v>
      </c>
      <c r="M29" s="26">
        <f>TRUNC(E29*요율기준!$B$10,-1)</f>
        <v>65550</v>
      </c>
      <c r="N29" s="26">
        <f>TRUNC(E29*요율기준!$B$11,-1)</f>
        <v>83790</v>
      </c>
      <c r="O29" s="28">
        <f t="shared" si="4"/>
        <v>536020</v>
      </c>
      <c r="P29" s="28">
        <f t="shared" si="5"/>
        <v>634060</v>
      </c>
      <c r="Q29" s="28">
        <f t="shared" si="6"/>
        <v>1170080</v>
      </c>
    </row>
    <row r="30" spans="1:17" x14ac:dyDescent="0.4">
      <c r="A30" s="30">
        <f>급여대장!A30</f>
        <v>46054</v>
      </c>
      <c r="B30" s="17">
        <v>3</v>
      </c>
      <c r="C30" s="25" t="str">
        <f>급여대장!D30</f>
        <v>다올찬</v>
      </c>
      <c r="D30" s="24" t="str">
        <f>급여대장!E30</f>
        <v>경영지원팀</v>
      </c>
      <c r="E30" s="29">
        <f>급여대장!V30</f>
        <v>5849280</v>
      </c>
      <c r="F30" s="26">
        <f>TRUNC(MIN(MAX(E30,요율기준!$B$6),요율기준!$B$5)*요율기준!$B$4,-1)</f>
        <v>263210</v>
      </c>
      <c r="G30" s="26">
        <f t="shared" si="1"/>
        <v>263210</v>
      </c>
      <c r="H30" s="26">
        <f>TRUNC(E30*요율기준!$B$7,-1)</f>
        <v>207350</v>
      </c>
      <c r="I30" s="26">
        <f t="shared" si="2"/>
        <v>207350</v>
      </c>
      <c r="J30" s="26">
        <f>TRUNC(H30*요율기준!$B$8,-1)</f>
        <v>26850</v>
      </c>
      <c r="K30" s="26">
        <f t="shared" si="3"/>
        <v>26850</v>
      </c>
      <c r="L30" s="26">
        <f>TRUNC(E30*요율기준!$B$9,-1)</f>
        <v>52640</v>
      </c>
      <c r="M30" s="26">
        <f>TRUNC(E30*요율기준!$B$10,-1)</f>
        <v>67260</v>
      </c>
      <c r="N30" s="26">
        <f>TRUNC(E30*요율기준!$B$11,-1)</f>
        <v>85980</v>
      </c>
      <c r="O30" s="28">
        <f t="shared" si="4"/>
        <v>550050</v>
      </c>
      <c r="P30" s="28">
        <f t="shared" si="5"/>
        <v>650650</v>
      </c>
      <c r="Q30" s="28">
        <f t="shared" si="6"/>
        <v>1200700</v>
      </c>
    </row>
    <row r="31" spans="1:17" x14ac:dyDescent="0.4">
      <c r="A31" s="30">
        <f>급여대장!A31</f>
        <v>46082</v>
      </c>
      <c r="B31" s="17">
        <v>3</v>
      </c>
      <c r="C31" s="25" t="str">
        <f>급여대장!D31</f>
        <v>다올찬</v>
      </c>
      <c r="D31" s="24" t="str">
        <f>급여대장!E31</f>
        <v>경영지원팀</v>
      </c>
      <c r="E31" s="29">
        <f>급여대장!V31</f>
        <v>5700000</v>
      </c>
      <c r="F31" s="26">
        <f>TRUNC(MIN(MAX(E31,요율기준!$B$6),요율기준!$B$5)*요율기준!$B$4,-1)</f>
        <v>256500</v>
      </c>
      <c r="G31" s="26">
        <f t="shared" si="1"/>
        <v>256500</v>
      </c>
      <c r="H31" s="26">
        <f>TRUNC(E31*요율기준!$B$7,-1)</f>
        <v>202060</v>
      </c>
      <c r="I31" s="26">
        <f t="shared" si="2"/>
        <v>202060</v>
      </c>
      <c r="J31" s="26">
        <f>TRUNC(H31*요율기준!$B$8,-1)</f>
        <v>26160</v>
      </c>
      <c r="K31" s="26">
        <f t="shared" si="3"/>
        <v>26160</v>
      </c>
      <c r="L31" s="26">
        <f>TRUNC(E31*요율기준!$B$9,-1)</f>
        <v>51300</v>
      </c>
      <c r="M31" s="26">
        <f>TRUNC(E31*요율기준!$B$10,-1)</f>
        <v>65550</v>
      </c>
      <c r="N31" s="26">
        <f>TRUNC(E31*요율기준!$B$11,-1)</f>
        <v>83790</v>
      </c>
      <c r="O31" s="28">
        <f t="shared" si="4"/>
        <v>536020</v>
      </c>
      <c r="P31" s="28">
        <f t="shared" si="5"/>
        <v>634060</v>
      </c>
      <c r="Q31" s="28">
        <f t="shared" si="6"/>
        <v>1170080</v>
      </c>
    </row>
    <row r="32" spans="1:17" x14ac:dyDescent="0.4">
      <c r="A32" s="30">
        <f>급여대장!A32</f>
        <v>46113</v>
      </c>
      <c r="B32" s="17">
        <v>3</v>
      </c>
      <c r="C32" s="25" t="str">
        <f>급여대장!D32</f>
        <v>다올찬</v>
      </c>
      <c r="D32" s="24" t="str">
        <f>급여대장!E32</f>
        <v>경영지원팀</v>
      </c>
      <c r="E32" s="29">
        <f>급여대장!V32</f>
        <v>5849280</v>
      </c>
      <c r="F32" s="26">
        <f>TRUNC(MIN(MAX(E32,요율기준!$B$6),요율기준!$B$5)*요율기준!$B$4,-1)</f>
        <v>263210</v>
      </c>
      <c r="G32" s="26">
        <f t="shared" si="1"/>
        <v>263210</v>
      </c>
      <c r="H32" s="26">
        <f>TRUNC(E32*요율기준!$B$7,-1)</f>
        <v>207350</v>
      </c>
      <c r="I32" s="26">
        <f t="shared" si="2"/>
        <v>207350</v>
      </c>
      <c r="J32" s="26">
        <f>TRUNC(H32*요율기준!$B$8,-1)</f>
        <v>26850</v>
      </c>
      <c r="K32" s="26">
        <f t="shared" si="3"/>
        <v>26850</v>
      </c>
      <c r="L32" s="26">
        <f>TRUNC(E32*요율기준!$B$9,-1)</f>
        <v>52640</v>
      </c>
      <c r="M32" s="26">
        <f>TRUNC(E32*요율기준!$B$10,-1)</f>
        <v>67260</v>
      </c>
      <c r="N32" s="26">
        <f>TRUNC(E32*요율기준!$B$11,-1)</f>
        <v>85980</v>
      </c>
      <c r="O32" s="28">
        <f t="shared" si="4"/>
        <v>550050</v>
      </c>
      <c r="P32" s="28">
        <f t="shared" si="5"/>
        <v>650650</v>
      </c>
      <c r="Q32" s="28">
        <f t="shared" si="6"/>
        <v>1200700</v>
      </c>
    </row>
    <row r="33" spans="1:17" x14ac:dyDescent="0.4">
      <c r="A33" s="30">
        <f>급여대장!A33</f>
        <v>46143</v>
      </c>
      <c r="B33" s="17">
        <v>3</v>
      </c>
      <c r="C33" s="25" t="str">
        <f>급여대장!D33</f>
        <v>다올찬</v>
      </c>
      <c r="D33" s="24" t="str">
        <f>급여대장!E33</f>
        <v>경영지원팀</v>
      </c>
      <c r="E33" s="29">
        <f>급여대장!V33</f>
        <v>5700000</v>
      </c>
      <c r="F33" s="26">
        <f>TRUNC(MIN(MAX(E33,요율기준!$B$6),요율기준!$B$5)*요율기준!$B$4,-1)</f>
        <v>256500</v>
      </c>
      <c r="G33" s="26">
        <f t="shared" si="1"/>
        <v>256500</v>
      </c>
      <c r="H33" s="26">
        <f>TRUNC(E33*요율기준!$B$7,-1)</f>
        <v>202060</v>
      </c>
      <c r="I33" s="26">
        <f t="shared" si="2"/>
        <v>202060</v>
      </c>
      <c r="J33" s="26">
        <f>TRUNC(H33*요율기준!$B$8,-1)</f>
        <v>26160</v>
      </c>
      <c r="K33" s="26">
        <f t="shared" si="3"/>
        <v>26160</v>
      </c>
      <c r="L33" s="26">
        <f>TRUNC(E33*요율기준!$B$9,-1)</f>
        <v>51300</v>
      </c>
      <c r="M33" s="26">
        <f>TRUNC(E33*요율기준!$B$10,-1)</f>
        <v>65550</v>
      </c>
      <c r="N33" s="26">
        <f>TRUNC(E33*요율기준!$B$11,-1)</f>
        <v>83790</v>
      </c>
      <c r="O33" s="28">
        <f t="shared" si="4"/>
        <v>536020</v>
      </c>
      <c r="P33" s="28">
        <f t="shared" si="5"/>
        <v>634060</v>
      </c>
      <c r="Q33" s="28">
        <f t="shared" si="6"/>
        <v>1170080</v>
      </c>
    </row>
    <row r="34" spans="1:17" x14ac:dyDescent="0.4">
      <c r="A34" s="30">
        <f>급여대장!A34</f>
        <v>46174</v>
      </c>
      <c r="B34" s="17">
        <v>3</v>
      </c>
      <c r="C34" s="25" t="str">
        <f>급여대장!D34</f>
        <v>다올찬</v>
      </c>
      <c r="D34" s="24" t="str">
        <f>급여대장!E34</f>
        <v>경영지원팀</v>
      </c>
      <c r="E34" s="29">
        <f>급여대장!V34</f>
        <v>5849280</v>
      </c>
      <c r="F34" s="26">
        <f>TRUNC(MIN(MAX(E34,요율기준!$B$6),요율기준!$B$5)*요율기준!$B$4,-1)</f>
        <v>263210</v>
      </c>
      <c r="G34" s="26">
        <f t="shared" si="1"/>
        <v>263210</v>
      </c>
      <c r="H34" s="26">
        <f>TRUNC(E34*요율기준!$B$7,-1)</f>
        <v>207350</v>
      </c>
      <c r="I34" s="26">
        <f t="shared" si="2"/>
        <v>207350</v>
      </c>
      <c r="J34" s="26">
        <f>TRUNC(H34*요율기준!$B$8,-1)</f>
        <v>26850</v>
      </c>
      <c r="K34" s="26">
        <f t="shared" si="3"/>
        <v>26850</v>
      </c>
      <c r="L34" s="26">
        <f>TRUNC(E34*요율기준!$B$9,-1)</f>
        <v>52640</v>
      </c>
      <c r="M34" s="26">
        <f>TRUNC(E34*요율기준!$B$10,-1)</f>
        <v>67260</v>
      </c>
      <c r="N34" s="26">
        <f>TRUNC(E34*요율기준!$B$11,-1)</f>
        <v>85980</v>
      </c>
      <c r="O34" s="28">
        <f t="shared" si="4"/>
        <v>550050</v>
      </c>
      <c r="P34" s="28">
        <f t="shared" si="5"/>
        <v>650650</v>
      </c>
      <c r="Q34" s="28">
        <f t="shared" si="6"/>
        <v>1200700</v>
      </c>
    </row>
    <row r="35" spans="1:17" x14ac:dyDescent="0.4">
      <c r="A35" s="30">
        <f>급여대장!A35</f>
        <v>46204</v>
      </c>
      <c r="B35" s="17">
        <v>3</v>
      </c>
      <c r="C35" s="25" t="str">
        <f>급여대장!D35</f>
        <v>다올찬</v>
      </c>
      <c r="D35" s="24" t="str">
        <f>급여대장!E35</f>
        <v>경영지원팀</v>
      </c>
      <c r="E35" s="29">
        <f>급여대장!V35</f>
        <v>5700000</v>
      </c>
      <c r="F35" s="26">
        <f>TRUNC(MIN(MAX(E35,요율기준!$B$6),요율기준!$B$5)*요율기준!$B$4,-1)</f>
        <v>256500</v>
      </c>
      <c r="G35" s="26">
        <f t="shared" si="1"/>
        <v>256500</v>
      </c>
      <c r="H35" s="26">
        <f>TRUNC(E35*요율기준!$B$7,-1)</f>
        <v>202060</v>
      </c>
      <c r="I35" s="26">
        <f t="shared" si="2"/>
        <v>202060</v>
      </c>
      <c r="J35" s="26">
        <f>TRUNC(H35*요율기준!$B$8,-1)</f>
        <v>26160</v>
      </c>
      <c r="K35" s="26">
        <f t="shared" si="3"/>
        <v>26160</v>
      </c>
      <c r="L35" s="26">
        <f>TRUNC(E35*요율기준!$B$9,-1)</f>
        <v>51300</v>
      </c>
      <c r="M35" s="26">
        <f>TRUNC(E35*요율기준!$B$10,-1)</f>
        <v>65550</v>
      </c>
      <c r="N35" s="26">
        <f>TRUNC(E35*요율기준!$B$11,-1)</f>
        <v>83790</v>
      </c>
      <c r="O35" s="28">
        <f t="shared" si="4"/>
        <v>536020</v>
      </c>
      <c r="P35" s="28">
        <f t="shared" si="5"/>
        <v>634060</v>
      </c>
      <c r="Q35" s="28">
        <f t="shared" si="6"/>
        <v>1170080</v>
      </c>
    </row>
    <row r="36" spans="1:17" x14ac:dyDescent="0.4">
      <c r="A36" s="30">
        <f>급여대장!A36</f>
        <v>46235</v>
      </c>
      <c r="B36" s="17">
        <v>3</v>
      </c>
      <c r="C36" s="25" t="str">
        <f>급여대장!D36</f>
        <v>다올찬</v>
      </c>
      <c r="D36" s="24" t="str">
        <f>급여대장!E36</f>
        <v>경영지원팀</v>
      </c>
      <c r="E36" s="29">
        <f>급여대장!V36</f>
        <v>5849280</v>
      </c>
      <c r="F36" s="26">
        <f>TRUNC(MIN(MAX(E36,요율기준!$B$6),요율기준!$B$5)*요율기준!$B$4,-1)</f>
        <v>263210</v>
      </c>
      <c r="G36" s="26">
        <f t="shared" si="1"/>
        <v>263210</v>
      </c>
      <c r="H36" s="26">
        <f>TRUNC(E36*요율기준!$B$7,-1)</f>
        <v>207350</v>
      </c>
      <c r="I36" s="26">
        <f t="shared" si="2"/>
        <v>207350</v>
      </c>
      <c r="J36" s="26">
        <f>TRUNC(H36*요율기준!$B$8,-1)</f>
        <v>26850</v>
      </c>
      <c r="K36" s="26">
        <f t="shared" si="3"/>
        <v>26850</v>
      </c>
      <c r="L36" s="26">
        <f>TRUNC(E36*요율기준!$B$9,-1)</f>
        <v>52640</v>
      </c>
      <c r="M36" s="26">
        <f>TRUNC(E36*요율기준!$B$10,-1)</f>
        <v>67260</v>
      </c>
      <c r="N36" s="26">
        <f>TRUNC(E36*요율기준!$B$11,-1)</f>
        <v>85980</v>
      </c>
      <c r="O36" s="28">
        <f t="shared" si="4"/>
        <v>550050</v>
      </c>
      <c r="P36" s="28">
        <f t="shared" si="5"/>
        <v>650650</v>
      </c>
      <c r="Q36" s="28">
        <f t="shared" si="6"/>
        <v>1200700</v>
      </c>
    </row>
    <row r="37" spans="1:17" x14ac:dyDescent="0.4">
      <c r="A37" s="30">
        <f>급여대장!A37</f>
        <v>46266</v>
      </c>
      <c r="B37" s="17">
        <v>3</v>
      </c>
      <c r="C37" s="25" t="str">
        <f>급여대장!D37</f>
        <v>다올찬</v>
      </c>
      <c r="D37" s="24" t="str">
        <f>급여대장!E37</f>
        <v>경영지원팀</v>
      </c>
      <c r="E37" s="29">
        <f>급여대장!V37</f>
        <v>5700000</v>
      </c>
      <c r="F37" s="26">
        <f>TRUNC(MIN(MAX(E37,요율기준!$B$6),요율기준!$B$5)*요율기준!$B$4,-1)</f>
        <v>256500</v>
      </c>
      <c r="G37" s="26">
        <f t="shared" si="1"/>
        <v>256500</v>
      </c>
      <c r="H37" s="26">
        <f>TRUNC(E37*요율기준!$B$7,-1)</f>
        <v>202060</v>
      </c>
      <c r="I37" s="26">
        <f t="shared" si="2"/>
        <v>202060</v>
      </c>
      <c r="J37" s="26">
        <f>TRUNC(H37*요율기준!$B$8,-1)</f>
        <v>26160</v>
      </c>
      <c r="K37" s="26">
        <f t="shared" si="3"/>
        <v>26160</v>
      </c>
      <c r="L37" s="26">
        <f>TRUNC(E37*요율기준!$B$9,-1)</f>
        <v>51300</v>
      </c>
      <c r="M37" s="26">
        <f>TRUNC(E37*요율기준!$B$10,-1)</f>
        <v>65550</v>
      </c>
      <c r="N37" s="26">
        <f>TRUNC(E37*요율기준!$B$11,-1)</f>
        <v>83790</v>
      </c>
      <c r="O37" s="28">
        <f t="shared" si="4"/>
        <v>536020</v>
      </c>
      <c r="P37" s="28">
        <f t="shared" si="5"/>
        <v>634060</v>
      </c>
      <c r="Q37" s="28">
        <f t="shared" si="6"/>
        <v>1170080</v>
      </c>
    </row>
    <row r="38" spans="1:17" x14ac:dyDescent="0.4">
      <c r="A38" s="30">
        <f>급여대장!A38</f>
        <v>46296</v>
      </c>
      <c r="B38" s="17">
        <v>3</v>
      </c>
      <c r="C38" s="25" t="str">
        <f>급여대장!D38</f>
        <v>다올찬</v>
      </c>
      <c r="D38" s="24" t="str">
        <f>급여대장!E38</f>
        <v>경영지원팀</v>
      </c>
      <c r="E38" s="29">
        <f>급여대장!V38</f>
        <v>5849280</v>
      </c>
      <c r="F38" s="26">
        <f>TRUNC(MIN(MAX(E38,요율기준!$B$6),요율기준!$B$5)*요율기준!$B$4,-1)</f>
        <v>263210</v>
      </c>
      <c r="G38" s="26">
        <f t="shared" si="1"/>
        <v>263210</v>
      </c>
      <c r="H38" s="26">
        <f>TRUNC(E38*요율기준!$B$7,-1)</f>
        <v>207350</v>
      </c>
      <c r="I38" s="26">
        <f t="shared" si="2"/>
        <v>207350</v>
      </c>
      <c r="J38" s="26">
        <f>TRUNC(H38*요율기준!$B$8,-1)</f>
        <v>26850</v>
      </c>
      <c r="K38" s="26">
        <f t="shared" si="3"/>
        <v>26850</v>
      </c>
      <c r="L38" s="26">
        <f>TRUNC(E38*요율기준!$B$9,-1)</f>
        <v>52640</v>
      </c>
      <c r="M38" s="26">
        <f>TRUNC(E38*요율기준!$B$10,-1)</f>
        <v>67260</v>
      </c>
      <c r="N38" s="26">
        <f>TRUNC(E38*요율기준!$B$11,-1)</f>
        <v>85980</v>
      </c>
      <c r="O38" s="28">
        <f t="shared" si="4"/>
        <v>550050</v>
      </c>
      <c r="P38" s="28">
        <f t="shared" si="5"/>
        <v>650650</v>
      </c>
      <c r="Q38" s="28">
        <f t="shared" si="6"/>
        <v>1200700</v>
      </c>
    </row>
    <row r="39" spans="1:17" x14ac:dyDescent="0.4">
      <c r="A39" s="30">
        <f>급여대장!A39</f>
        <v>46327</v>
      </c>
      <c r="B39" s="17">
        <v>3</v>
      </c>
      <c r="C39" s="25" t="str">
        <f>급여대장!D39</f>
        <v>다올찬</v>
      </c>
      <c r="D39" s="24" t="str">
        <f>급여대장!E39</f>
        <v>경영지원팀</v>
      </c>
      <c r="E39" s="29">
        <f>급여대장!V39</f>
        <v>5700000</v>
      </c>
      <c r="F39" s="26">
        <f>TRUNC(MIN(MAX(E39,요율기준!$B$6),요율기준!$B$5)*요율기준!$B$4,-1)</f>
        <v>256500</v>
      </c>
      <c r="G39" s="26">
        <f t="shared" si="1"/>
        <v>256500</v>
      </c>
      <c r="H39" s="26">
        <f>TRUNC(E39*요율기준!$B$7,-1)</f>
        <v>202060</v>
      </c>
      <c r="I39" s="26">
        <f t="shared" si="2"/>
        <v>202060</v>
      </c>
      <c r="J39" s="26">
        <f>TRUNC(H39*요율기준!$B$8,-1)</f>
        <v>26160</v>
      </c>
      <c r="K39" s="26">
        <f t="shared" si="3"/>
        <v>26160</v>
      </c>
      <c r="L39" s="26">
        <f>TRUNC(E39*요율기준!$B$9,-1)</f>
        <v>51300</v>
      </c>
      <c r="M39" s="26">
        <f>TRUNC(E39*요율기준!$B$10,-1)</f>
        <v>65550</v>
      </c>
      <c r="N39" s="26">
        <f>TRUNC(E39*요율기준!$B$11,-1)</f>
        <v>83790</v>
      </c>
      <c r="O39" s="28">
        <f t="shared" si="4"/>
        <v>536020</v>
      </c>
      <c r="P39" s="28">
        <f t="shared" si="5"/>
        <v>634060</v>
      </c>
      <c r="Q39" s="28">
        <f t="shared" si="6"/>
        <v>1170080</v>
      </c>
    </row>
    <row r="40" spans="1:17" x14ac:dyDescent="0.4">
      <c r="A40" s="30">
        <f>급여대장!A40</f>
        <v>46357</v>
      </c>
      <c r="B40" s="17">
        <v>3</v>
      </c>
      <c r="C40" s="25" t="str">
        <f>급여대장!D40</f>
        <v>다올찬</v>
      </c>
      <c r="D40" s="24" t="str">
        <f>급여대장!E40</f>
        <v>경영지원팀</v>
      </c>
      <c r="E40" s="29">
        <f>급여대장!V40</f>
        <v>5849280</v>
      </c>
      <c r="F40" s="26">
        <f>TRUNC(MIN(MAX(E40,요율기준!$B$6),요율기준!$B$5)*요율기준!$B$4,-1)</f>
        <v>263210</v>
      </c>
      <c r="G40" s="26">
        <f t="shared" si="1"/>
        <v>263210</v>
      </c>
      <c r="H40" s="26">
        <f>TRUNC(E40*요율기준!$B$7,-1)</f>
        <v>207350</v>
      </c>
      <c r="I40" s="26">
        <f t="shared" si="2"/>
        <v>207350</v>
      </c>
      <c r="J40" s="26">
        <f>TRUNC(H40*요율기준!$B$8,-1)</f>
        <v>26850</v>
      </c>
      <c r="K40" s="26">
        <f t="shared" si="3"/>
        <v>26850</v>
      </c>
      <c r="L40" s="26">
        <f>TRUNC(E40*요율기준!$B$9,-1)</f>
        <v>52640</v>
      </c>
      <c r="M40" s="26">
        <f>TRUNC(E40*요율기준!$B$10,-1)</f>
        <v>67260</v>
      </c>
      <c r="N40" s="26">
        <f>TRUNC(E40*요율기준!$B$11,-1)</f>
        <v>85980</v>
      </c>
      <c r="O40" s="28">
        <f t="shared" si="4"/>
        <v>550050</v>
      </c>
      <c r="P40" s="28">
        <f t="shared" si="5"/>
        <v>650650</v>
      </c>
      <c r="Q40" s="28">
        <f t="shared" si="6"/>
        <v>1200700</v>
      </c>
    </row>
    <row r="41" spans="1:17" x14ac:dyDescent="0.4">
      <c r="A41" s="30">
        <f>급여대장!A41</f>
        <v>46023</v>
      </c>
      <c r="B41" s="17">
        <v>4</v>
      </c>
      <c r="C41" s="25" t="str">
        <f>급여대장!D41</f>
        <v>라온제</v>
      </c>
      <c r="D41" s="24" t="str">
        <f>급여대장!E41</f>
        <v>경영지원팀</v>
      </c>
      <c r="E41" s="29">
        <f>급여대장!V41</f>
        <v>4100476</v>
      </c>
      <c r="F41" s="26">
        <f>TRUNC(MIN(MAX(E41,요율기준!$B$6),요율기준!$B$5)*요율기준!$B$4,-1)</f>
        <v>184520</v>
      </c>
      <c r="G41" s="26">
        <f t="shared" si="1"/>
        <v>184520</v>
      </c>
      <c r="H41" s="26">
        <f>TRUNC(E41*요율기준!$B$7,-1)</f>
        <v>145360</v>
      </c>
      <c r="I41" s="26">
        <f t="shared" si="2"/>
        <v>145360</v>
      </c>
      <c r="J41" s="26">
        <f>TRUNC(H41*요율기준!$B$8,-1)</f>
        <v>18820</v>
      </c>
      <c r="K41" s="26">
        <f t="shared" si="3"/>
        <v>18820</v>
      </c>
      <c r="L41" s="26">
        <f>TRUNC(E41*요율기준!$B$9,-1)</f>
        <v>36900</v>
      </c>
      <c r="M41" s="26">
        <f>TRUNC(E41*요율기준!$B$10,-1)</f>
        <v>47150</v>
      </c>
      <c r="N41" s="26">
        <f>TRUNC(E41*요율기준!$B$11,-1)</f>
        <v>60270</v>
      </c>
      <c r="O41" s="28">
        <f t="shared" si="4"/>
        <v>385600</v>
      </c>
      <c r="P41" s="28">
        <f t="shared" si="5"/>
        <v>456120</v>
      </c>
      <c r="Q41" s="28">
        <f t="shared" si="6"/>
        <v>841720</v>
      </c>
    </row>
    <row r="42" spans="1:17" x14ac:dyDescent="0.4">
      <c r="A42" s="30">
        <f>급여대장!A42</f>
        <v>46054</v>
      </c>
      <c r="B42" s="17">
        <v>4</v>
      </c>
      <c r="C42" s="25" t="str">
        <f>급여대장!D42</f>
        <v>라온제</v>
      </c>
      <c r="D42" s="24" t="str">
        <f>급여대장!E42</f>
        <v>경영지원팀</v>
      </c>
      <c r="E42" s="29">
        <f>급여대장!V42</f>
        <v>4000000</v>
      </c>
      <c r="F42" s="26">
        <f>TRUNC(MIN(MAX(E42,요율기준!$B$6),요율기준!$B$5)*요율기준!$B$4,-1)</f>
        <v>180000</v>
      </c>
      <c r="G42" s="26">
        <f t="shared" si="1"/>
        <v>180000</v>
      </c>
      <c r="H42" s="26">
        <f>TRUNC(E42*요율기준!$B$7,-1)</f>
        <v>141800</v>
      </c>
      <c r="I42" s="26">
        <f t="shared" si="2"/>
        <v>141800</v>
      </c>
      <c r="J42" s="26">
        <f>TRUNC(H42*요율기준!$B$8,-1)</f>
        <v>18360</v>
      </c>
      <c r="K42" s="26">
        <f t="shared" si="3"/>
        <v>18360</v>
      </c>
      <c r="L42" s="26">
        <f>TRUNC(E42*요율기준!$B$9,-1)</f>
        <v>36000</v>
      </c>
      <c r="M42" s="26">
        <f>TRUNC(E42*요율기준!$B$10,-1)</f>
        <v>46000</v>
      </c>
      <c r="N42" s="26">
        <f>TRUNC(E42*요율기준!$B$11,-1)</f>
        <v>58800</v>
      </c>
      <c r="O42" s="28">
        <f t="shared" si="4"/>
        <v>376160</v>
      </c>
      <c r="P42" s="28">
        <f t="shared" si="5"/>
        <v>444960</v>
      </c>
      <c r="Q42" s="28">
        <f t="shared" si="6"/>
        <v>821120</v>
      </c>
    </row>
    <row r="43" spans="1:17" x14ac:dyDescent="0.4">
      <c r="A43" s="30">
        <f>급여대장!A43</f>
        <v>46082</v>
      </c>
      <c r="B43" s="17">
        <v>4</v>
      </c>
      <c r="C43" s="25" t="str">
        <f>급여대장!D43</f>
        <v>라온제</v>
      </c>
      <c r="D43" s="24" t="str">
        <f>급여대장!E43</f>
        <v>경영지원팀</v>
      </c>
      <c r="E43" s="29">
        <f>급여대장!V43</f>
        <v>4100476</v>
      </c>
      <c r="F43" s="26">
        <f>TRUNC(MIN(MAX(E43,요율기준!$B$6),요율기준!$B$5)*요율기준!$B$4,-1)</f>
        <v>184520</v>
      </c>
      <c r="G43" s="26">
        <f t="shared" si="1"/>
        <v>184520</v>
      </c>
      <c r="H43" s="26">
        <f>TRUNC(E43*요율기준!$B$7,-1)</f>
        <v>145360</v>
      </c>
      <c r="I43" s="26">
        <f t="shared" si="2"/>
        <v>145360</v>
      </c>
      <c r="J43" s="26">
        <f>TRUNC(H43*요율기준!$B$8,-1)</f>
        <v>18820</v>
      </c>
      <c r="K43" s="26">
        <f t="shared" si="3"/>
        <v>18820</v>
      </c>
      <c r="L43" s="26">
        <f>TRUNC(E43*요율기준!$B$9,-1)</f>
        <v>36900</v>
      </c>
      <c r="M43" s="26">
        <f>TRUNC(E43*요율기준!$B$10,-1)</f>
        <v>47150</v>
      </c>
      <c r="N43" s="26">
        <f>TRUNC(E43*요율기준!$B$11,-1)</f>
        <v>60270</v>
      </c>
      <c r="O43" s="28">
        <f t="shared" si="4"/>
        <v>385600</v>
      </c>
      <c r="P43" s="28">
        <f t="shared" si="5"/>
        <v>456120</v>
      </c>
      <c r="Q43" s="28">
        <f t="shared" si="6"/>
        <v>841720</v>
      </c>
    </row>
    <row r="44" spans="1:17" x14ac:dyDescent="0.4">
      <c r="A44" s="30">
        <f>급여대장!A44</f>
        <v>46113</v>
      </c>
      <c r="B44" s="17">
        <v>4</v>
      </c>
      <c r="C44" s="25" t="str">
        <f>급여대장!D44</f>
        <v>라온제</v>
      </c>
      <c r="D44" s="24" t="str">
        <f>급여대장!E44</f>
        <v>경영지원팀</v>
      </c>
      <c r="E44" s="29">
        <f>급여대장!V44</f>
        <v>4000000</v>
      </c>
      <c r="F44" s="26">
        <f>TRUNC(MIN(MAX(E44,요율기준!$B$6),요율기준!$B$5)*요율기준!$B$4,-1)</f>
        <v>180000</v>
      </c>
      <c r="G44" s="26">
        <f t="shared" si="1"/>
        <v>180000</v>
      </c>
      <c r="H44" s="26">
        <f>TRUNC(E44*요율기준!$B$7,-1)</f>
        <v>141800</v>
      </c>
      <c r="I44" s="26">
        <f t="shared" si="2"/>
        <v>141800</v>
      </c>
      <c r="J44" s="26">
        <f>TRUNC(H44*요율기준!$B$8,-1)</f>
        <v>18360</v>
      </c>
      <c r="K44" s="26">
        <f t="shared" si="3"/>
        <v>18360</v>
      </c>
      <c r="L44" s="26">
        <f>TRUNC(E44*요율기준!$B$9,-1)</f>
        <v>36000</v>
      </c>
      <c r="M44" s="26">
        <f>TRUNC(E44*요율기준!$B$10,-1)</f>
        <v>46000</v>
      </c>
      <c r="N44" s="26">
        <f>TRUNC(E44*요율기준!$B$11,-1)</f>
        <v>58800</v>
      </c>
      <c r="O44" s="28">
        <f t="shared" si="4"/>
        <v>376160</v>
      </c>
      <c r="P44" s="28">
        <f t="shared" si="5"/>
        <v>444960</v>
      </c>
      <c r="Q44" s="28">
        <f t="shared" si="6"/>
        <v>821120</v>
      </c>
    </row>
    <row r="45" spans="1:17" x14ac:dyDescent="0.4">
      <c r="A45" s="30">
        <f>급여대장!A45</f>
        <v>46143</v>
      </c>
      <c r="B45" s="17">
        <v>4</v>
      </c>
      <c r="C45" s="25" t="str">
        <f>급여대장!D45</f>
        <v>라온제</v>
      </c>
      <c r="D45" s="24" t="str">
        <f>급여대장!E45</f>
        <v>경영지원팀</v>
      </c>
      <c r="E45" s="29">
        <f>급여대장!V45</f>
        <v>4100476</v>
      </c>
      <c r="F45" s="26">
        <f>TRUNC(MIN(MAX(E45,요율기준!$B$6),요율기준!$B$5)*요율기준!$B$4,-1)</f>
        <v>184520</v>
      </c>
      <c r="G45" s="26">
        <f t="shared" si="1"/>
        <v>184520</v>
      </c>
      <c r="H45" s="26">
        <f>TRUNC(E45*요율기준!$B$7,-1)</f>
        <v>145360</v>
      </c>
      <c r="I45" s="26">
        <f t="shared" si="2"/>
        <v>145360</v>
      </c>
      <c r="J45" s="26">
        <f>TRUNC(H45*요율기준!$B$8,-1)</f>
        <v>18820</v>
      </c>
      <c r="K45" s="26">
        <f t="shared" si="3"/>
        <v>18820</v>
      </c>
      <c r="L45" s="26">
        <f>TRUNC(E45*요율기준!$B$9,-1)</f>
        <v>36900</v>
      </c>
      <c r="M45" s="26">
        <f>TRUNC(E45*요율기준!$B$10,-1)</f>
        <v>47150</v>
      </c>
      <c r="N45" s="26">
        <f>TRUNC(E45*요율기준!$B$11,-1)</f>
        <v>60270</v>
      </c>
      <c r="O45" s="28">
        <f t="shared" si="4"/>
        <v>385600</v>
      </c>
      <c r="P45" s="28">
        <f t="shared" si="5"/>
        <v>456120</v>
      </c>
      <c r="Q45" s="28">
        <f t="shared" si="6"/>
        <v>841720</v>
      </c>
    </row>
    <row r="46" spans="1:17" x14ac:dyDescent="0.4">
      <c r="A46" s="30">
        <f>급여대장!A46</f>
        <v>46174</v>
      </c>
      <c r="B46" s="17">
        <v>4</v>
      </c>
      <c r="C46" s="25" t="str">
        <f>급여대장!D46</f>
        <v>라온제</v>
      </c>
      <c r="D46" s="24" t="str">
        <f>급여대장!E46</f>
        <v>경영지원팀</v>
      </c>
      <c r="E46" s="29">
        <f>급여대장!V46</f>
        <v>4000000</v>
      </c>
      <c r="F46" s="26">
        <f>TRUNC(MIN(MAX(E46,요율기준!$B$6),요율기준!$B$5)*요율기준!$B$4,-1)</f>
        <v>180000</v>
      </c>
      <c r="G46" s="26">
        <f t="shared" si="1"/>
        <v>180000</v>
      </c>
      <c r="H46" s="26">
        <f>TRUNC(E46*요율기준!$B$7,-1)</f>
        <v>141800</v>
      </c>
      <c r="I46" s="26">
        <f t="shared" si="2"/>
        <v>141800</v>
      </c>
      <c r="J46" s="26">
        <f>TRUNC(H46*요율기준!$B$8,-1)</f>
        <v>18360</v>
      </c>
      <c r="K46" s="26">
        <f t="shared" si="3"/>
        <v>18360</v>
      </c>
      <c r="L46" s="26">
        <f>TRUNC(E46*요율기준!$B$9,-1)</f>
        <v>36000</v>
      </c>
      <c r="M46" s="26">
        <f>TRUNC(E46*요율기준!$B$10,-1)</f>
        <v>46000</v>
      </c>
      <c r="N46" s="26">
        <f>TRUNC(E46*요율기준!$B$11,-1)</f>
        <v>58800</v>
      </c>
      <c r="O46" s="28">
        <f t="shared" si="4"/>
        <v>376160</v>
      </c>
      <c r="P46" s="28">
        <f t="shared" si="5"/>
        <v>444960</v>
      </c>
      <c r="Q46" s="28">
        <f t="shared" si="6"/>
        <v>821120</v>
      </c>
    </row>
    <row r="47" spans="1:17" x14ac:dyDescent="0.4">
      <c r="A47" s="30">
        <f>급여대장!A47</f>
        <v>46204</v>
      </c>
      <c r="B47" s="17">
        <v>4</v>
      </c>
      <c r="C47" s="25" t="str">
        <f>급여대장!D47</f>
        <v>라온제</v>
      </c>
      <c r="D47" s="24" t="str">
        <f>급여대장!E47</f>
        <v>경영지원팀</v>
      </c>
      <c r="E47" s="29">
        <f>급여대장!V47</f>
        <v>4100476</v>
      </c>
      <c r="F47" s="26">
        <f>TRUNC(MIN(MAX(E47,요율기준!$B$6),요율기준!$B$5)*요율기준!$B$4,-1)</f>
        <v>184520</v>
      </c>
      <c r="G47" s="26">
        <f t="shared" si="1"/>
        <v>184520</v>
      </c>
      <c r="H47" s="26">
        <f>TRUNC(E47*요율기준!$B$7,-1)</f>
        <v>145360</v>
      </c>
      <c r="I47" s="26">
        <f t="shared" si="2"/>
        <v>145360</v>
      </c>
      <c r="J47" s="26">
        <f>TRUNC(H47*요율기준!$B$8,-1)</f>
        <v>18820</v>
      </c>
      <c r="K47" s="26">
        <f t="shared" si="3"/>
        <v>18820</v>
      </c>
      <c r="L47" s="26">
        <f>TRUNC(E47*요율기준!$B$9,-1)</f>
        <v>36900</v>
      </c>
      <c r="M47" s="26">
        <f>TRUNC(E47*요율기준!$B$10,-1)</f>
        <v>47150</v>
      </c>
      <c r="N47" s="26">
        <f>TRUNC(E47*요율기준!$B$11,-1)</f>
        <v>60270</v>
      </c>
      <c r="O47" s="28">
        <f t="shared" si="4"/>
        <v>385600</v>
      </c>
      <c r="P47" s="28">
        <f t="shared" si="5"/>
        <v>456120</v>
      </c>
      <c r="Q47" s="28">
        <f t="shared" si="6"/>
        <v>841720</v>
      </c>
    </row>
    <row r="48" spans="1:17" x14ac:dyDescent="0.4">
      <c r="A48" s="30">
        <f>급여대장!A48</f>
        <v>46235</v>
      </c>
      <c r="B48" s="17">
        <v>4</v>
      </c>
      <c r="C48" s="25" t="str">
        <f>급여대장!D48</f>
        <v>라온제</v>
      </c>
      <c r="D48" s="24" t="str">
        <f>급여대장!E48</f>
        <v>경영지원팀</v>
      </c>
      <c r="E48" s="29">
        <f>급여대장!V48</f>
        <v>4000000</v>
      </c>
      <c r="F48" s="26">
        <f>TRUNC(MIN(MAX(E48,요율기준!$B$6),요율기준!$B$5)*요율기준!$B$4,-1)</f>
        <v>180000</v>
      </c>
      <c r="G48" s="26">
        <f t="shared" si="1"/>
        <v>180000</v>
      </c>
      <c r="H48" s="26">
        <f>TRUNC(E48*요율기준!$B$7,-1)</f>
        <v>141800</v>
      </c>
      <c r="I48" s="26">
        <f t="shared" si="2"/>
        <v>141800</v>
      </c>
      <c r="J48" s="26">
        <f>TRUNC(H48*요율기준!$B$8,-1)</f>
        <v>18360</v>
      </c>
      <c r="K48" s="26">
        <f t="shared" si="3"/>
        <v>18360</v>
      </c>
      <c r="L48" s="26">
        <f>TRUNC(E48*요율기준!$B$9,-1)</f>
        <v>36000</v>
      </c>
      <c r="M48" s="26">
        <f>TRUNC(E48*요율기준!$B$10,-1)</f>
        <v>46000</v>
      </c>
      <c r="N48" s="26">
        <f>TRUNC(E48*요율기준!$B$11,-1)</f>
        <v>58800</v>
      </c>
      <c r="O48" s="28">
        <f t="shared" si="4"/>
        <v>376160</v>
      </c>
      <c r="P48" s="28">
        <f t="shared" si="5"/>
        <v>444960</v>
      </c>
      <c r="Q48" s="28">
        <f t="shared" si="6"/>
        <v>821120</v>
      </c>
    </row>
    <row r="49" spans="1:17" x14ac:dyDescent="0.4">
      <c r="A49" s="30">
        <f>급여대장!A49</f>
        <v>46266</v>
      </c>
      <c r="B49" s="17">
        <v>4</v>
      </c>
      <c r="C49" s="25" t="str">
        <f>급여대장!D49</f>
        <v>라온제</v>
      </c>
      <c r="D49" s="24" t="str">
        <f>급여대장!E49</f>
        <v>경영지원팀</v>
      </c>
      <c r="E49" s="29">
        <f>급여대장!V49</f>
        <v>4100476</v>
      </c>
      <c r="F49" s="26">
        <f>TRUNC(MIN(MAX(E49,요율기준!$B$6),요율기준!$B$5)*요율기준!$B$4,-1)</f>
        <v>184520</v>
      </c>
      <c r="G49" s="26">
        <f t="shared" si="1"/>
        <v>184520</v>
      </c>
      <c r="H49" s="26">
        <f>TRUNC(E49*요율기준!$B$7,-1)</f>
        <v>145360</v>
      </c>
      <c r="I49" s="26">
        <f t="shared" si="2"/>
        <v>145360</v>
      </c>
      <c r="J49" s="26">
        <f>TRUNC(H49*요율기준!$B$8,-1)</f>
        <v>18820</v>
      </c>
      <c r="K49" s="26">
        <f t="shared" si="3"/>
        <v>18820</v>
      </c>
      <c r="L49" s="26">
        <f>TRUNC(E49*요율기준!$B$9,-1)</f>
        <v>36900</v>
      </c>
      <c r="M49" s="26">
        <f>TRUNC(E49*요율기준!$B$10,-1)</f>
        <v>47150</v>
      </c>
      <c r="N49" s="26">
        <f>TRUNC(E49*요율기준!$B$11,-1)</f>
        <v>60270</v>
      </c>
      <c r="O49" s="28">
        <f t="shared" si="4"/>
        <v>385600</v>
      </c>
      <c r="P49" s="28">
        <f t="shared" si="5"/>
        <v>456120</v>
      </c>
      <c r="Q49" s="28">
        <f t="shared" si="6"/>
        <v>841720</v>
      </c>
    </row>
    <row r="50" spans="1:17" x14ac:dyDescent="0.4">
      <c r="A50" s="30">
        <f>급여대장!A50</f>
        <v>46296</v>
      </c>
      <c r="B50" s="17">
        <v>4</v>
      </c>
      <c r="C50" s="25" t="str">
        <f>급여대장!D50</f>
        <v>라온제</v>
      </c>
      <c r="D50" s="24" t="str">
        <f>급여대장!E50</f>
        <v>경영지원팀</v>
      </c>
      <c r="E50" s="29">
        <f>급여대장!V50</f>
        <v>4000000</v>
      </c>
      <c r="F50" s="26">
        <f>TRUNC(MIN(MAX(E50,요율기준!$B$6),요율기준!$B$5)*요율기준!$B$4,-1)</f>
        <v>180000</v>
      </c>
      <c r="G50" s="26">
        <f t="shared" si="1"/>
        <v>180000</v>
      </c>
      <c r="H50" s="26">
        <f>TRUNC(E50*요율기준!$B$7,-1)</f>
        <v>141800</v>
      </c>
      <c r="I50" s="26">
        <f t="shared" si="2"/>
        <v>141800</v>
      </c>
      <c r="J50" s="26">
        <f>TRUNC(H50*요율기준!$B$8,-1)</f>
        <v>18360</v>
      </c>
      <c r="K50" s="26">
        <f t="shared" si="3"/>
        <v>18360</v>
      </c>
      <c r="L50" s="26">
        <f>TRUNC(E50*요율기준!$B$9,-1)</f>
        <v>36000</v>
      </c>
      <c r="M50" s="26">
        <f>TRUNC(E50*요율기준!$B$10,-1)</f>
        <v>46000</v>
      </c>
      <c r="N50" s="26">
        <f>TRUNC(E50*요율기준!$B$11,-1)</f>
        <v>58800</v>
      </c>
      <c r="O50" s="28">
        <f t="shared" si="4"/>
        <v>376160</v>
      </c>
      <c r="P50" s="28">
        <f t="shared" si="5"/>
        <v>444960</v>
      </c>
      <c r="Q50" s="28">
        <f t="shared" si="6"/>
        <v>821120</v>
      </c>
    </row>
    <row r="51" spans="1:17" x14ac:dyDescent="0.4">
      <c r="A51" s="30">
        <f>급여대장!A51</f>
        <v>46327</v>
      </c>
      <c r="B51" s="17">
        <v>4</v>
      </c>
      <c r="C51" s="25" t="str">
        <f>급여대장!D51</f>
        <v>라온제</v>
      </c>
      <c r="D51" s="24" t="str">
        <f>급여대장!E51</f>
        <v>경영지원팀</v>
      </c>
      <c r="E51" s="29">
        <f>급여대장!V51</f>
        <v>4100476</v>
      </c>
      <c r="F51" s="26">
        <f>TRUNC(MIN(MAX(E51,요율기준!$B$6),요율기준!$B$5)*요율기준!$B$4,-1)</f>
        <v>184520</v>
      </c>
      <c r="G51" s="26">
        <f t="shared" si="1"/>
        <v>184520</v>
      </c>
      <c r="H51" s="26">
        <f>TRUNC(E51*요율기준!$B$7,-1)</f>
        <v>145360</v>
      </c>
      <c r="I51" s="26">
        <f t="shared" si="2"/>
        <v>145360</v>
      </c>
      <c r="J51" s="26">
        <f>TRUNC(H51*요율기준!$B$8,-1)</f>
        <v>18820</v>
      </c>
      <c r="K51" s="26">
        <f t="shared" si="3"/>
        <v>18820</v>
      </c>
      <c r="L51" s="26">
        <f>TRUNC(E51*요율기준!$B$9,-1)</f>
        <v>36900</v>
      </c>
      <c r="M51" s="26">
        <f>TRUNC(E51*요율기준!$B$10,-1)</f>
        <v>47150</v>
      </c>
      <c r="N51" s="26">
        <f>TRUNC(E51*요율기준!$B$11,-1)</f>
        <v>60270</v>
      </c>
      <c r="O51" s="28">
        <f t="shared" si="4"/>
        <v>385600</v>
      </c>
      <c r="P51" s="28">
        <f t="shared" si="5"/>
        <v>456120</v>
      </c>
      <c r="Q51" s="28">
        <f t="shared" si="6"/>
        <v>841720</v>
      </c>
    </row>
    <row r="52" spans="1:17" x14ac:dyDescent="0.4">
      <c r="A52" s="30">
        <f>급여대장!A52</f>
        <v>46357</v>
      </c>
      <c r="B52" s="17">
        <v>4</v>
      </c>
      <c r="C52" s="25" t="str">
        <f>급여대장!D52</f>
        <v>라온제</v>
      </c>
      <c r="D52" s="24" t="str">
        <f>급여대장!E52</f>
        <v>경영지원팀</v>
      </c>
      <c r="E52" s="29">
        <f>급여대장!V52</f>
        <v>4000000</v>
      </c>
      <c r="F52" s="26">
        <f>TRUNC(MIN(MAX(E52,요율기준!$B$6),요율기준!$B$5)*요율기준!$B$4,-1)</f>
        <v>180000</v>
      </c>
      <c r="G52" s="26">
        <f t="shared" si="1"/>
        <v>180000</v>
      </c>
      <c r="H52" s="26">
        <f>TRUNC(E52*요율기준!$B$7,-1)</f>
        <v>141800</v>
      </c>
      <c r="I52" s="26">
        <f t="shared" si="2"/>
        <v>141800</v>
      </c>
      <c r="J52" s="26">
        <f>TRUNC(H52*요율기준!$B$8,-1)</f>
        <v>18360</v>
      </c>
      <c r="K52" s="26">
        <f t="shared" si="3"/>
        <v>18360</v>
      </c>
      <c r="L52" s="26">
        <f>TRUNC(E52*요율기준!$B$9,-1)</f>
        <v>36000</v>
      </c>
      <c r="M52" s="26">
        <f>TRUNC(E52*요율기준!$B$10,-1)</f>
        <v>46000</v>
      </c>
      <c r="N52" s="26">
        <f>TRUNC(E52*요율기준!$B$11,-1)</f>
        <v>58800</v>
      </c>
      <c r="O52" s="28">
        <f t="shared" si="4"/>
        <v>376160</v>
      </c>
      <c r="P52" s="28">
        <f t="shared" si="5"/>
        <v>444960</v>
      </c>
      <c r="Q52" s="28">
        <f t="shared" si="6"/>
        <v>821120</v>
      </c>
    </row>
    <row r="53" spans="1:17" x14ac:dyDescent="0.4">
      <c r="A53" s="30">
        <f>급여대장!A53</f>
        <v>46023</v>
      </c>
      <c r="B53" s="17">
        <v>5</v>
      </c>
      <c r="C53" s="25" t="str">
        <f>급여대장!D53</f>
        <v>마루한</v>
      </c>
      <c r="D53" s="24" t="str">
        <f>급여대장!E53</f>
        <v>C&amp;M 1팀</v>
      </c>
      <c r="E53" s="29">
        <f>급여대장!V53</f>
        <v>5934682</v>
      </c>
      <c r="F53" s="26">
        <f>TRUNC(MIN(MAX(E53,요율기준!$B$6),요율기준!$B$5)*요율기준!$B$4,-1)</f>
        <v>267060</v>
      </c>
      <c r="G53" s="26">
        <f t="shared" si="1"/>
        <v>267060</v>
      </c>
      <c r="H53" s="26">
        <f>TRUNC(E53*요율기준!$B$7,-1)</f>
        <v>210380</v>
      </c>
      <c r="I53" s="26">
        <f t="shared" si="2"/>
        <v>210380</v>
      </c>
      <c r="J53" s="26">
        <f>TRUNC(H53*요율기준!$B$8,-1)</f>
        <v>27240</v>
      </c>
      <c r="K53" s="26">
        <f t="shared" si="3"/>
        <v>27240</v>
      </c>
      <c r="L53" s="26">
        <f>TRUNC(E53*요율기준!$B$9,-1)</f>
        <v>53410</v>
      </c>
      <c r="M53" s="26">
        <f>TRUNC(E53*요율기준!$B$10,-1)</f>
        <v>68240</v>
      </c>
      <c r="N53" s="26">
        <f>TRUNC(E53*요율기준!$B$11,-1)</f>
        <v>87230</v>
      </c>
      <c r="O53" s="28">
        <f t="shared" si="4"/>
        <v>558090</v>
      </c>
      <c r="P53" s="28">
        <f t="shared" si="5"/>
        <v>660150</v>
      </c>
      <c r="Q53" s="28">
        <f t="shared" si="6"/>
        <v>1218240</v>
      </c>
    </row>
    <row r="54" spans="1:17" x14ac:dyDescent="0.4">
      <c r="A54" s="30">
        <f>급여대장!A54</f>
        <v>46054</v>
      </c>
      <c r="B54" s="17">
        <v>5</v>
      </c>
      <c r="C54" s="25" t="str">
        <f>급여대장!D54</f>
        <v>마루한</v>
      </c>
      <c r="D54" s="24" t="str">
        <f>급여대장!E54</f>
        <v>C&amp;M 1팀</v>
      </c>
      <c r="E54" s="29">
        <f>급여대장!V54</f>
        <v>5996404</v>
      </c>
      <c r="F54" s="26">
        <f>TRUNC(MIN(MAX(E54,요율기준!$B$6),요율기준!$B$5)*요율기준!$B$4,-1)</f>
        <v>269830</v>
      </c>
      <c r="G54" s="26">
        <f t="shared" si="1"/>
        <v>269830</v>
      </c>
      <c r="H54" s="26">
        <f>TRUNC(E54*요율기준!$B$7,-1)</f>
        <v>212570</v>
      </c>
      <c r="I54" s="26">
        <f t="shared" si="2"/>
        <v>212570</v>
      </c>
      <c r="J54" s="26">
        <f>TRUNC(H54*요율기준!$B$8,-1)</f>
        <v>27520</v>
      </c>
      <c r="K54" s="26">
        <f t="shared" si="3"/>
        <v>27520</v>
      </c>
      <c r="L54" s="26">
        <f>TRUNC(E54*요율기준!$B$9,-1)</f>
        <v>53960</v>
      </c>
      <c r="M54" s="26">
        <f>TRUNC(E54*요율기준!$B$10,-1)</f>
        <v>68950</v>
      </c>
      <c r="N54" s="26">
        <f>TRUNC(E54*요율기준!$B$11,-1)</f>
        <v>88140</v>
      </c>
      <c r="O54" s="28">
        <f t="shared" si="4"/>
        <v>563880</v>
      </c>
      <c r="P54" s="28">
        <f t="shared" si="5"/>
        <v>667010</v>
      </c>
      <c r="Q54" s="28">
        <f t="shared" si="6"/>
        <v>1230890</v>
      </c>
    </row>
    <row r="55" spans="1:17" x14ac:dyDescent="0.4">
      <c r="A55" s="30">
        <f>급여대장!A55</f>
        <v>46082</v>
      </c>
      <c r="B55" s="17">
        <v>5</v>
      </c>
      <c r="C55" s="25" t="str">
        <f>급여대장!D55</f>
        <v>마루한</v>
      </c>
      <c r="D55" s="24" t="str">
        <f>급여대장!E55</f>
        <v>C&amp;M 1팀</v>
      </c>
      <c r="E55" s="29">
        <f>급여대장!V55</f>
        <v>5410045</v>
      </c>
      <c r="F55" s="26">
        <f>TRUNC(MIN(MAX(E55,요율기준!$B$6),요율기준!$B$5)*요율기준!$B$4,-1)</f>
        <v>243450</v>
      </c>
      <c r="G55" s="26">
        <f t="shared" si="1"/>
        <v>243450</v>
      </c>
      <c r="H55" s="26">
        <f>TRUNC(E55*요율기준!$B$7,-1)</f>
        <v>191780</v>
      </c>
      <c r="I55" s="26">
        <f t="shared" si="2"/>
        <v>191780</v>
      </c>
      <c r="J55" s="26">
        <f>TRUNC(H55*요율기준!$B$8,-1)</f>
        <v>24830</v>
      </c>
      <c r="K55" s="26">
        <f t="shared" si="3"/>
        <v>24830</v>
      </c>
      <c r="L55" s="26">
        <f>TRUNC(E55*요율기준!$B$9,-1)</f>
        <v>48690</v>
      </c>
      <c r="M55" s="26">
        <f>TRUNC(E55*요율기준!$B$10,-1)</f>
        <v>62210</v>
      </c>
      <c r="N55" s="26">
        <f>TRUNC(E55*요율기준!$B$11,-1)</f>
        <v>79520</v>
      </c>
      <c r="O55" s="28">
        <f t="shared" si="4"/>
        <v>508750</v>
      </c>
      <c r="P55" s="28">
        <f t="shared" si="5"/>
        <v>601790</v>
      </c>
      <c r="Q55" s="28">
        <f t="shared" si="6"/>
        <v>1110540</v>
      </c>
    </row>
    <row r="56" spans="1:17" x14ac:dyDescent="0.4">
      <c r="A56" s="30">
        <f>급여대장!A56</f>
        <v>46113</v>
      </c>
      <c r="B56" s="17">
        <v>5</v>
      </c>
      <c r="C56" s="25" t="str">
        <f>급여대장!D56</f>
        <v>마루한</v>
      </c>
      <c r="D56" s="24" t="str">
        <f>급여대장!E56</f>
        <v>C&amp;M 1팀</v>
      </c>
      <c r="E56" s="29">
        <f>급여대장!V56</f>
        <v>5595211</v>
      </c>
      <c r="F56" s="26">
        <f>TRUNC(MIN(MAX(E56,요율기준!$B$6),요율기준!$B$5)*요율기준!$B$4,-1)</f>
        <v>251780</v>
      </c>
      <c r="G56" s="26">
        <f t="shared" si="1"/>
        <v>251780</v>
      </c>
      <c r="H56" s="26">
        <f>TRUNC(E56*요율기준!$B$7,-1)</f>
        <v>198350</v>
      </c>
      <c r="I56" s="26">
        <f t="shared" si="2"/>
        <v>198350</v>
      </c>
      <c r="J56" s="26">
        <f>TRUNC(H56*요율기준!$B$8,-1)</f>
        <v>25680</v>
      </c>
      <c r="K56" s="26">
        <f t="shared" si="3"/>
        <v>25680</v>
      </c>
      <c r="L56" s="26">
        <f>TRUNC(E56*요율기준!$B$9,-1)</f>
        <v>50350</v>
      </c>
      <c r="M56" s="26">
        <f>TRUNC(E56*요율기준!$B$10,-1)</f>
        <v>64340</v>
      </c>
      <c r="N56" s="26">
        <f>TRUNC(E56*요율기준!$B$11,-1)</f>
        <v>82240</v>
      </c>
      <c r="O56" s="28">
        <f t="shared" si="4"/>
        <v>526160</v>
      </c>
      <c r="P56" s="28">
        <f t="shared" si="5"/>
        <v>622390</v>
      </c>
      <c r="Q56" s="28">
        <f t="shared" si="6"/>
        <v>1148550</v>
      </c>
    </row>
    <row r="57" spans="1:17" x14ac:dyDescent="0.4">
      <c r="A57" s="30">
        <f>급여대장!A57</f>
        <v>46143</v>
      </c>
      <c r="B57" s="17">
        <v>5</v>
      </c>
      <c r="C57" s="25" t="str">
        <f>급여대장!D57</f>
        <v>마루한</v>
      </c>
      <c r="D57" s="24" t="str">
        <f>급여대장!E57</f>
        <v>C&amp;M 1팀</v>
      </c>
      <c r="E57" s="29">
        <f>급여대장!V57</f>
        <v>5780377</v>
      </c>
      <c r="F57" s="26">
        <f>TRUNC(MIN(MAX(E57,요율기준!$B$6),요율기준!$B$5)*요율기준!$B$4,-1)</f>
        <v>260110</v>
      </c>
      <c r="G57" s="26">
        <f t="shared" si="1"/>
        <v>260110</v>
      </c>
      <c r="H57" s="26">
        <f>TRUNC(E57*요율기준!$B$7,-1)</f>
        <v>204910</v>
      </c>
      <c r="I57" s="26">
        <f t="shared" si="2"/>
        <v>204910</v>
      </c>
      <c r="J57" s="26">
        <f>TRUNC(H57*요율기준!$B$8,-1)</f>
        <v>26530</v>
      </c>
      <c r="K57" s="26">
        <f t="shared" si="3"/>
        <v>26530</v>
      </c>
      <c r="L57" s="26">
        <f>TRUNC(E57*요율기준!$B$9,-1)</f>
        <v>52020</v>
      </c>
      <c r="M57" s="26">
        <f>TRUNC(E57*요율기준!$B$10,-1)</f>
        <v>66470</v>
      </c>
      <c r="N57" s="26">
        <f>TRUNC(E57*요율기준!$B$11,-1)</f>
        <v>84970</v>
      </c>
      <c r="O57" s="28">
        <f t="shared" si="4"/>
        <v>543570</v>
      </c>
      <c r="P57" s="28">
        <f t="shared" si="5"/>
        <v>642990</v>
      </c>
      <c r="Q57" s="28">
        <f t="shared" si="6"/>
        <v>1186560</v>
      </c>
    </row>
    <row r="58" spans="1:17" x14ac:dyDescent="0.4">
      <c r="A58" s="30">
        <f>급여대장!A58</f>
        <v>46174</v>
      </c>
      <c r="B58" s="17">
        <v>5</v>
      </c>
      <c r="C58" s="25" t="str">
        <f>급여대장!D58</f>
        <v>마루한</v>
      </c>
      <c r="D58" s="24" t="str">
        <f>급여대장!E58</f>
        <v>C&amp;M 1팀</v>
      </c>
      <c r="E58" s="29">
        <f>급여대장!V58</f>
        <v>5842099</v>
      </c>
      <c r="F58" s="26">
        <f>TRUNC(MIN(MAX(E58,요율기준!$B$6),요율기준!$B$5)*요율기준!$B$4,-1)</f>
        <v>262890</v>
      </c>
      <c r="G58" s="26">
        <f t="shared" si="1"/>
        <v>262890</v>
      </c>
      <c r="H58" s="26">
        <f>TRUNC(E58*요율기준!$B$7,-1)</f>
        <v>207100</v>
      </c>
      <c r="I58" s="26">
        <f t="shared" si="2"/>
        <v>207100</v>
      </c>
      <c r="J58" s="26">
        <f>TRUNC(H58*요율기준!$B$8,-1)</f>
        <v>26810</v>
      </c>
      <c r="K58" s="26">
        <f t="shared" si="3"/>
        <v>26810</v>
      </c>
      <c r="L58" s="26">
        <f>TRUNC(E58*요율기준!$B$9,-1)</f>
        <v>52570</v>
      </c>
      <c r="M58" s="26">
        <f>TRUNC(E58*요율기준!$B$10,-1)</f>
        <v>67180</v>
      </c>
      <c r="N58" s="26">
        <f>TRUNC(E58*요율기준!$B$11,-1)</f>
        <v>85870</v>
      </c>
      <c r="O58" s="28">
        <f t="shared" si="4"/>
        <v>549370</v>
      </c>
      <c r="P58" s="28">
        <f t="shared" si="5"/>
        <v>649850</v>
      </c>
      <c r="Q58" s="28">
        <f t="shared" si="6"/>
        <v>1199220</v>
      </c>
    </row>
    <row r="59" spans="1:17" x14ac:dyDescent="0.4">
      <c r="A59" s="30">
        <f>급여대장!A59</f>
        <v>46204</v>
      </c>
      <c r="B59" s="17">
        <v>5</v>
      </c>
      <c r="C59" s="25" t="str">
        <f>급여대장!D59</f>
        <v>마루한</v>
      </c>
      <c r="D59" s="24" t="str">
        <f>급여대장!E59</f>
        <v>C&amp;M 1팀</v>
      </c>
      <c r="E59" s="29">
        <f>급여대장!V59</f>
        <v>6027265</v>
      </c>
      <c r="F59" s="26">
        <f>TRUNC(MIN(MAX(E59,요율기준!$B$6),요율기준!$B$5)*요율기준!$B$4,-1)</f>
        <v>271220</v>
      </c>
      <c r="G59" s="26">
        <f t="shared" si="1"/>
        <v>271220</v>
      </c>
      <c r="H59" s="26">
        <f>TRUNC(E59*요율기준!$B$7,-1)</f>
        <v>213660</v>
      </c>
      <c r="I59" s="26">
        <f t="shared" si="2"/>
        <v>213660</v>
      </c>
      <c r="J59" s="26">
        <f>TRUNC(H59*요율기준!$B$8,-1)</f>
        <v>27660</v>
      </c>
      <c r="K59" s="26">
        <f t="shared" si="3"/>
        <v>27660</v>
      </c>
      <c r="L59" s="26">
        <f>TRUNC(E59*요율기준!$B$9,-1)</f>
        <v>54240</v>
      </c>
      <c r="M59" s="26">
        <f>TRUNC(E59*요율기준!$B$10,-1)</f>
        <v>69310</v>
      </c>
      <c r="N59" s="26">
        <f>TRUNC(E59*요율기준!$B$11,-1)</f>
        <v>88600</v>
      </c>
      <c r="O59" s="28">
        <f t="shared" si="4"/>
        <v>566780</v>
      </c>
      <c r="P59" s="28">
        <f t="shared" si="5"/>
        <v>670450</v>
      </c>
      <c r="Q59" s="28">
        <f t="shared" si="6"/>
        <v>1237230</v>
      </c>
    </row>
    <row r="60" spans="1:17" x14ac:dyDescent="0.4">
      <c r="A60" s="30">
        <f>급여대장!A60</f>
        <v>46235</v>
      </c>
      <c r="B60" s="17">
        <v>5</v>
      </c>
      <c r="C60" s="25" t="str">
        <f>급여대장!D60</f>
        <v>마루한</v>
      </c>
      <c r="D60" s="24" t="str">
        <f>급여대장!E60</f>
        <v>C&amp;M 1팀</v>
      </c>
      <c r="E60" s="29">
        <f>급여대장!V60</f>
        <v>5440906</v>
      </c>
      <c r="F60" s="26">
        <f>TRUNC(MIN(MAX(E60,요율기준!$B$6),요율기준!$B$5)*요율기준!$B$4,-1)</f>
        <v>244840</v>
      </c>
      <c r="G60" s="26">
        <f t="shared" si="1"/>
        <v>244840</v>
      </c>
      <c r="H60" s="26">
        <f>TRUNC(E60*요율기준!$B$7,-1)</f>
        <v>192880</v>
      </c>
      <c r="I60" s="26">
        <f t="shared" si="2"/>
        <v>192880</v>
      </c>
      <c r="J60" s="26">
        <f>TRUNC(H60*요율기준!$B$8,-1)</f>
        <v>24970</v>
      </c>
      <c r="K60" s="26">
        <f t="shared" si="3"/>
        <v>24970</v>
      </c>
      <c r="L60" s="26">
        <f>TRUNC(E60*요율기준!$B$9,-1)</f>
        <v>48960</v>
      </c>
      <c r="M60" s="26">
        <f>TRUNC(E60*요율기준!$B$10,-1)</f>
        <v>62570</v>
      </c>
      <c r="N60" s="26">
        <f>TRUNC(E60*요율기준!$B$11,-1)</f>
        <v>79980</v>
      </c>
      <c r="O60" s="28">
        <f t="shared" si="4"/>
        <v>511650</v>
      </c>
      <c r="P60" s="28">
        <f t="shared" si="5"/>
        <v>605240</v>
      </c>
      <c r="Q60" s="28">
        <f t="shared" si="6"/>
        <v>1116890</v>
      </c>
    </row>
    <row r="61" spans="1:17" x14ac:dyDescent="0.4">
      <c r="A61" s="30">
        <f>급여대장!A61</f>
        <v>46266</v>
      </c>
      <c r="B61" s="17">
        <v>5</v>
      </c>
      <c r="C61" s="25" t="str">
        <f>급여대장!D61</f>
        <v>마루한</v>
      </c>
      <c r="D61" s="24" t="str">
        <f>급여대장!E61</f>
        <v>C&amp;M 1팀</v>
      </c>
      <c r="E61" s="29">
        <f>급여대장!V61</f>
        <v>5626072</v>
      </c>
      <c r="F61" s="26">
        <f>TRUNC(MIN(MAX(E61,요율기준!$B$6),요율기준!$B$5)*요율기준!$B$4,-1)</f>
        <v>253170</v>
      </c>
      <c r="G61" s="26">
        <f t="shared" si="1"/>
        <v>253170</v>
      </c>
      <c r="H61" s="26">
        <f>TRUNC(E61*요율기준!$B$7,-1)</f>
        <v>199440</v>
      </c>
      <c r="I61" s="26">
        <f t="shared" si="2"/>
        <v>199440</v>
      </c>
      <c r="J61" s="26">
        <f>TRUNC(H61*요율기준!$B$8,-1)</f>
        <v>25820</v>
      </c>
      <c r="K61" s="26">
        <f t="shared" si="3"/>
        <v>25820</v>
      </c>
      <c r="L61" s="26">
        <f>TRUNC(E61*요율기준!$B$9,-1)</f>
        <v>50630</v>
      </c>
      <c r="M61" s="26">
        <f>TRUNC(E61*요율기준!$B$10,-1)</f>
        <v>64690</v>
      </c>
      <c r="N61" s="26">
        <f>TRUNC(E61*요율기준!$B$11,-1)</f>
        <v>82700</v>
      </c>
      <c r="O61" s="28">
        <f t="shared" si="4"/>
        <v>529060</v>
      </c>
      <c r="P61" s="28">
        <f t="shared" si="5"/>
        <v>625820</v>
      </c>
      <c r="Q61" s="28">
        <f t="shared" si="6"/>
        <v>1154880</v>
      </c>
    </row>
    <row r="62" spans="1:17" x14ac:dyDescent="0.4">
      <c r="A62" s="30">
        <f>급여대장!A62</f>
        <v>46296</v>
      </c>
      <c r="B62" s="17">
        <v>5</v>
      </c>
      <c r="C62" s="25" t="str">
        <f>급여대장!D62</f>
        <v>마루한</v>
      </c>
      <c r="D62" s="24" t="str">
        <f>급여대장!E62</f>
        <v>C&amp;M 1팀</v>
      </c>
      <c r="E62" s="29">
        <f>급여대장!V62</f>
        <v>5687794</v>
      </c>
      <c r="F62" s="26">
        <f>TRUNC(MIN(MAX(E62,요율기준!$B$6),요율기준!$B$5)*요율기준!$B$4,-1)</f>
        <v>255950</v>
      </c>
      <c r="G62" s="26">
        <f t="shared" si="1"/>
        <v>255950</v>
      </c>
      <c r="H62" s="26">
        <f>TRUNC(E62*요율기준!$B$7,-1)</f>
        <v>201630</v>
      </c>
      <c r="I62" s="26">
        <f t="shared" si="2"/>
        <v>201630</v>
      </c>
      <c r="J62" s="26">
        <f>TRUNC(H62*요율기준!$B$8,-1)</f>
        <v>26110</v>
      </c>
      <c r="K62" s="26">
        <f t="shared" si="3"/>
        <v>26110</v>
      </c>
      <c r="L62" s="26">
        <f>TRUNC(E62*요율기준!$B$9,-1)</f>
        <v>51190</v>
      </c>
      <c r="M62" s="26">
        <f>TRUNC(E62*요율기준!$B$10,-1)</f>
        <v>65400</v>
      </c>
      <c r="N62" s="26">
        <f>TRUNC(E62*요율기준!$B$11,-1)</f>
        <v>83610</v>
      </c>
      <c r="O62" s="28">
        <f t="shared" si="4"/>
        <v>534880</v>
      </c>
      <c r="P62" s="28">
        <f t="shared" si="5"/>
        <v>632700</v>
      </c>
      <c r="Q62" s="28">
        <f t="shared" si="6"/>
        <v>1167580</v>
      </c>
    </row>
    <row r="63" spans="1:17" x14ac:dyDescent="0.4">
      <c r="A63" s="30">
        <f>급여대장!A63</f>
        <v>46327</v>
      </c>
      <c r="B63" s="17">
        <v>5</v>
      </c>
      <c r="C63" s="25" t="str">
        <f>급여대장!D63</f>
        <v>마루한</v>
      </c>
      <c r="D63" s="24" t="str">
        <f>급여대장!E63</f>
        <v>C&amp;M 1팀</v>
      </c>
      <c r="E63" s="29">
        <f>급여대장!V63</f>
        <v>5872960</v>
      </c>
      <c r="F63" s="26">
        <f>TRUNC(MIN(MAX(E63,요율기준!$B$6),요율기준!$B$5)*요율기준!$B$4,-1)</f>
        <v>264280</v>
      </c>
      <c r="G63" s="26">
        <f t="shared" si="1"/>
        <v>264280</v>
      </c>
      <c r="H63" s="26">
        <f>TRUNC(E63*요율기준!$B$7,-1)</f>
        <v>208190</v>
      </c>
      <c r="I63" s="26">
        <f t="shared" si="2"/>
        <v>208190</v>
      </c>
      <c r="J63" s="26">
        <f>TRUNC(H63*요율기준!$B$8,-1)</f>
        <v>26960</v>
      </c>
      <c r="K63" s="26">
        <f t="shared" si="3"/>
        <v>26960</v>
      </c>
      <c r="L63" s="26">
        <f>TRUNC(E63*요율기준!$B$9,-1)</f>
        <v>52850</v>
      </c>
      <c r="M63" s="26">
        <f>TRUNC(E63*요율기준!$B$10,-1)</f>
        <v>67530</v>
      </c>
      <c r="N63" s="26">
        <f>TRUNC(E63*요율기준!$B$11,-1)</f>
        <v>86330</v>
      </c>
      <c r="O63" s="28">
        <f t="shared" si="4"/>
        <v>552280</v>
      </c>
      <c r="P63" s="28">
        <f t="shared" si="5"/>
        <v>653290</v>
      </c>
      <c r="Q63" s="28">
        <f t="shared" si="6"/>
        <v>1205570</v>
      </c>
    </row>
    <row r="64" spans="1:17" x14ac:dyDescent="0.4">
      <c r="A64" s="30">
        <f>급여대장!A64</f>
        <v>46357</v>
      </c>
      <c r="B64" s="17">
        <v>5</v>
      </c>
      <c r="C64" s="25" t="str">
        <f>급여대장!D64</f>
        <v>마루한</v>
      </c>
      <c r="D64" s="24" t="str">
        <f>급여대장!E64</f>
        <v>C&amp;M 1팀</v>
      </c>
      <c r="E64" s="29">
        <f>급여대장!V64</f>
        <v>6058126</v>
      </c>
      <c r="F64" s="26">
        <f>TRUNC(MIN(MAX(E64,요율기준!$B$6),요율기준!$B$5)*요율기준!$B$4,-1)</f>
        <v>272610</v>
      </c>
      <c r="G64" s="26">
        <f t="shared" si="1"/>
        <v>272610</v>
      </c>
      <c r="H64" s="26">
        <f>TRUNC(E64*요율기준!$B$7,-1)</f>
        <v>214760</v>
      </c>
      <c r="I64" s="26">
        <f t="shared" si="2"/>
        <v>214760</v>
      </c>
      <c r="J64" s="26">
        <f>TRUNC(H64*요율기준!$B$8,-1)</f>
        <v>27810</v>
      </c>
      <c r="K64" s="26">
        <f t="shared" si="3"/>
        <v>27810</v>
      </c>
      <c r="L64" s="26">
        <f>TRUNC(E64*요율기준!$B$9,-1)</f>
        <v>54520</v>
      </c>
      <c r="M64" s="26">
        <f>TRUNC(E64*요율기준!$B$10,-1)</f>
        <v>69660</v>
      </c>
      <c r="N64" s="26">
        <f>TRUNC(E64*요율기준!$B$11,-1)</f>
        <v>89050</v>
      </c>
      <c r="O64" s="28">
        <f t="shared" si="4"/>
        <v>569700</v>
      </c>
      <c r="P64" s="28">
        <f t="shared" si="5"/>
        <v>673890</v>
      </c>
      <c r="Q64" s="28">
        <f t="shared" si="6"/>
        <v>1243590</v>
      </c>
    </row>
    <row r="65" spans="1:17" x14ac:dyDescent="0.4">
      <c r="A65" s="30">
        <f>급여대장!A65</f>
        <v>46023</v>
      </c>
      <c r="B65" s="17">
        <v>6</v>
      </c>
      <c r="C65" s="25" t="str">
        <f>급여대장!D65</f>
        <v>바다별</v>
      </c>
      <c r="D65" s="24" t="str">
        <f>급여대장!E65</f>
        <v>C&amp;S 1팀</v>
      </c>
      <c r="E65" s="29">
        <f>급여대장!V65</f>
        <v>5924395</v>
      </c>
      <c r="F65" s="26">
        <f>TRUNC(MIN(MAX(E65,요율기준!$B$6),요율기준!$B$5)*요율기준!$B$4,-1)</f>
        <v>266590</v>
      </c>
      <c r="G65" s="26">
        <f t="shared" si="1"/>
        <v>266590</v>
      </c>
      <c r="H65" s="26">
        <f>TRUNC(E65*요율기준!$B$7,-1)</f>
        <v>210010</v>
      </c>
      <c r="I65" s="26">
        <f t="shared" si="2"/>
        <v>210010</v>
      </c>
      <c r="J65" s="26">
        <f>TRUNC(H65*요율기준!$B$8,-1)</f>
        <v>27190</v>
      </c>
      <c r="K65" s="26">
        <f t="shared" si="3"/>
        <v>27190</v>
      </c>
      <c r="L65" s="26">
        <f>TRUNC(E65*요율기준!$B$9,-1)</f>
        <v>53310</v>
      </c>
      <c r="M65" s="26">
        <f>TRUNC(E65*요율기준!$B$10,-1)</f>
        <v>68130</v>
      </c>
      <c r="N65" s="26">
        <f>TRUNC(E65*요율기준!$B$11,-1)</f>
        <v>87080</v>
      </c>
      <c r="O65" s="28">
        <f t="shared" si="4"/>
        <v>557100</v>
      </c>
      <c r="P65" s="28">
        <f t="shared" si="5"/>
        <v>659000</v>
      </c>
      <c r="Q65" s="28">
        <f t="shared" si="6"/>
        <v>1216100</v>
      </c>
    </row>
    <row r="66" spans="1:17" x14ac:dyDescent="0.4">
      <c r="A66" s="30">
        <f>급여대장!A66</f>
        <v>46054</v>
      </c>
      <c r="B66" s="17">
        <v>6</v>
      </c>
      <c r="C66" s="25" t="str">
        <f>급여대장!D66</f>
        <v>바다별</v>
      </c>
      <c r="D66" s="24" t="str">
        <f>급여대장!E66</f>
        <v>C&amp;S 1팀</v>
      </c>
      <c r="E66" s="29">
        <f>급여대장!V66</f>
        <v>5338036</v>
      </c>
      <c r="F66" s="26">
        <f>TRUNC(MIN(MAX(E66,요율기준!$B$6),요율기준!$B$5)*요율기준!$B$4,-1)</f>
        <v>240210</v>
      </c>
      <c r="G66" s="26">
        <f t="shared" si="1"/>
        <v>240210</v>
      </c>
      <c r="H66" s="26">
        <f>TRUNC(E66*요율기준!$B$7,-1)</f>
        <v>189230</v>
      </c>
      <c r="I66" s="26">
        <f t="shared" si="2"/>
        <v>189230</v>
      </c>
      <c r="J66" s="26">
        <f>TRUNC(H66*요율기준!$B$8,-1)</f>
        <v>24500</v>
      </c>
      <c r="K66" s="26">
        <f t="shared" si="3"/>
        <v>24500</v>
      </c>
      <c r="L66" s="26">
        <f>TRUNC(E66*요율기준!$B$9,-1)</f>
        <v>48040</v>
      </c>
      <c r="M66" s="26">
        <f>TRUNC(E66*요율기준!$B$10,-1)</f>
        <v>61380</v>
      </c>
      <c r="N66" s="26">
        <f>TRUNC(E66*요율기준!$B$11,-1)</f>
        <v>78460</v>
      </c>
      <c r="O66" s="28">
        <f t="shared" si="4"/>
        <v>501980</v>
      </c>
      <c r="P66" s="28">
        <f t="shared" si="5"/>
        <v>593780</v>
      </c>
      <c r="Q66" s="28">
        <f t="shared" si="6"/>
        <v>1095760</v>
      </c>
    </row>
    <row r="67" spans="1:17" x14ac:dyDescent="0.4">
      <c r="A67" s="30">
        <f>급여대장!A67</f>
        <v>46082</v>
      </c>
      <c r="B67" s="17">
        <v>6</v>
      </c>
      <c r="C67" s="25" t="str">
        <f>급여대장!D67</f>
        <v>바다별</v>
      </c>
      <c r="D67" s="24" t="str">
        <f>급여대장!E67</f>
        <v>C&amp;S 1팀</v>
      </c>
      <c r="E67" s="29">
        <f>급여대장!V67</f>
        <v>5523202</v>
      </c>
      <c r="F67" s="26">
        <f>TRUNC(MIN(MAX(E67,요율기준!$B$6),요율기준!$B$5)*요율기준!$B$4,-1)</f>
        <v>248540</v>
      </c>
      <c r="G67" s="26">
        <f t="shared" si="1"/>
        <v>248540</v>
      </c>
      <c r="H67" s="26">
        <f>TRUNC(E67*요율기준!$B$7,-1)</f>
        <v>195790</v>
      </c>
      <c r="I67" s="26">
        <f t="shared" si="2"/>
        <v>195790</v>
      </c>
      <c r="J67" s="26">
        <f>TRUNC(H67*요율기준!$B$8,-1)</f>
        <v>25350</v>
      </c>
      <c r="K67" s="26">
        <f t="shared" si="3"/>
        <v>25350</v>
      </c>
      <c r="L67" s="26">
        <f>TRUNC(E67*요율기준!$B$9,-1)</f>
        <v>49700</v>
      </c>
      <c r="M67" s="26">
        <f>TRUNC(E67*요율기준!$B$10,-1)</f>
        <v>63510</v>
      </c>
      <c r="N67" s="26">
        <f>TRUNC(E67*요율기준!$B$11,-1)</f>
        <v>81190</v>
      </c>
      <c r="O67" s="28">
        <f t="shared" si="4"/>
        <v>519380</v>
      </c>
      <c r="P67" s="28">
        <f t="shared" si="5"/>
        <v>614380</v>
      </c>
      <c r="Q67" s="28">
        <f t="shared" si="6"/>
        <v>1133760</v>
      </c>
    </row>
    <row r="68" spans="1:17" x14ac:dyDescent="0.4">
      <c r="A68" s="30">
        <f>급여대장!A68</f>
        <v>46113</v>
      </c>
      <c r="B68" s="17">
        <v>6</v>
      </c>
      <c r="C68" s="25" t="str">
        <f>급여대장!D68</f>
        <v>바다별</v>
      </c>
      <c r="D68" s="24" t="str">
        <f>급여대장!E68</f>
        <v>C&amp;S 1팀</v>
      </c>
      <c r="E68" s="29">
        <f>급여대장!V68</f>
        <v>5708368</v>
      </c>
      <c r="F68" s="26">
        <f>TRUNC(MIN(MAX(E68,요율기준!$B$6),요율기준!$B$5)*요율기준!$B$4,-1)</f>
        <v>256870</v>
      </c>
      <c r="G68" s="26">
        <f t="shared" si="1"/>
        <v>256870</v>
      </c>
      <c r="H68" s="26">
        <f>TRUNC(E68*요율기준!$B$7,-1)</f>
        <v>202360</v>
      </c>
      <c r="I68" s="26">
        <f t="shared" si="2"/>
        <v>202360</v>
      </c>
      <c r="J68" s="26">
        <f>TRUNC(H68*요율기준!$B$8,-1)</f>
        <v>26200</v>
      </c>
      <c r="K68" s="26">
        <f t="shared" si="3"/>
        <v>26200</v>
      </c>
      <c r="L68" s="26">
        <f>TRUNC(E68*요율기준!$B$9,-1)</f>
        <v>51370</v>
      </c>
      <c r="M68" s="26">
        <f>TRUNC(E68*요율기준!$B$10,-1)</f>
        <v>65640</v>
      </c>
      <c r="N68" s="26">
        <f>TRUNC(E68*요율기준!$B$11,-1)</f>
        <v>83910</v>
      </c>
      <c r="O68" s="28">
        <f t="shared" si="4"/>
        <v>536800</v>
      </c>
      <c r="P68" s="28">
        <f t="shared" si="5"/>
        <v>634980</v>
      </c>
      <c r="Q68" s="28">
        <f t="shared" si="6"/>
        <v>1171780</v>
      </c>
    </row>
    <row r="69" spans="1:17" x14ac:dyDescent="0.4">
      <c r="A69" s="30">
        <f>급여대장!A69</f>
        <v>46143</v>
      </c>
      <c r="B69" s="17">
        <v>6</v>
      </c>
      <c r="C69" s="25" t="str">
        <f>급여대장!D69</f>
        <v>바다별</v>
      </c>
      <c r="D69" s="24" t="str">
        <f>급여대장!E69</f>
        <v>C&amp;S 1팀</v>
      </c>
      <c r="E69" s="29">
        <f>급여대장!V69</f>
        <v>5770090</v>
      </c>
      <c r="F69" s="26">
        <f>TRUNC(MIN(MAX(E69,요율기준!$B$6),요율기준!$B$5)*요율기준!$B$4,-1)</f>
        <v>259650</v>
      </c>
      <c r="G69" s="26">
        <f t="shared" ref="G69:G132" si="7">F69</f>
        <v>259650</v>
      </c>
      <c r="H69" s="26">
        <f>TRUNC(E69*요율기준!$B$7,-1)</f>
        <v>204540</v>
      </c>
      <c r="I69" s="26">
        <f t="shared" ref="I69:I132" si="8">H69</f>
        <v>204540</v>
      </c>
      <c r="J69" s="26">
        <f>TRUNC(H69*요율기준!$B$8,-1)</f>
        <v>26480</v>
      </c>
      <c r="K69" s="26">
        <f t="shared" ref="K69:K132" si="9">J69</f>
        <v>26480</v>
      </c>
      <c r="L69" s="26">
        <f>TRUNC(E69*요율기준!$B$9,-1)</f>
        <v>51930</v>
      </c>
      <c r="M69" s="26">
        <f>TRUNC(E69*요율기준!$B$10,-1)</f>
        <v>66350</v>
      </c>
      <c r="N69" s="26">
        <f>TRUNC(E69*요율기준!$B$11,-1)</f>
        <v>84820</v>
      </c>
      <c r="O69" s="28">
        <f t="shared" ref="O69:O132" si="10">F69+H69+J69+L69</f>
        <v>542600</v>
      </c>
      <c r="P69" s="28">
        <f t="shared" ref="P69:P132" si="11">G69+I69+K69+M69+N69</f>
        <v>641840</v>
      </c>
      <c r="Q69" s="28">
        <f t="shared" ref="Q69:Q132" si="12">O69+P69</f>
        <v>1184440</v>
      </c>
    </row>
    <row r="70" spans="1:17" x14ac:dyDescent="0.4">
      <c r="A70" s="30">
        <f>급여대장!A70</f>
        <v>46174</v>
      </c>
      <c r="B70" s="17">
        <v>6</v>
      </c>
      <c r="C70" s="25" t="str">
        <f>급여대장!D70</f>
        <v>바다별</v>
      </c>
      <c r="D70" s="24" t="str">
        <f>급여대장!E70</f>
        <v>C&amp;S 1팀</v>
      </c>
      <c r="E70" s="29">
        <f>급여대장!V70</f>
        <v>5955256</v>
      </c>
      <c r="F70" s="26">
        <f>TRUNC(MIN(MAX(E70,요율기준!$B$6),요율기준!$B$5)*요율기준!$B$4,-1)</f>
        <v>267980</v>
      </c>
      <c r="G70" s="26">
        <f t="shared" si="7"/>
        <v>267980</v>
      </c>
      <c r="H70" s="26">
        <f>TRUNC(E70*요율기준!$B$7,-1)</f>
        <v>211110</v>
      </c>
      <c r="I70" s="26">
        <f t="shared" si="8"/>
        <v>211110</v>
      </c>
      <c r="J70" s="26">
        <f>TRUNC(H70*요율기준!$B$8,-1)</f>
        <v>27330</v>
      </c>
      <c r="K70" s="26">
        <f t="shared" si="9"/>
        <v>27330</v>
      </c>
      <c r="L70" s="26">
        <f>TRUNC(E70*요율기준!$B$9,-1)</f>
        <v>53590</v>
      </c>
      <c r="M70" s="26">
        <f>TRUNC(E70*요율기준!$B$10,-1)</f>
        <v>68480</v>
      </c>
      <c r="N70" s="26">
        <f>TRUNC(E70*요율기준!$B$11,-1)</f>
        <v>87540</v>
      </c>
      <c r="O70" s="28">
        <f t="shared" si="10"/>
        <v>560010</v>
      </c>
      <c r="P70" s="28">
        <f t="shared" si="11"/>
        <v>662440</v>
      </c>
      <c r="Q70" s="28">
        <f t="shared" si="12"/>
        <v>1222450</v>
      </c>
    </row>
    <row r="71" spans="1:17" x14ac:dyDescent="0.4">
      <c r="A71" s="30">
        <f>급여대장!A71</f>
        <v>46204</v>
      </c>
      <c r="B71" s="17">
        <v>6</v>
      </c>
      <c r="C71" s="25" t="str">
        <f>급여대장!D71</f>
        <v>바다별</v>
      </c>
      <c r="D71" s="24" t="str">
        <f>급여대장!E71</f>
        <v>C&amp;S 1팀</v>
      </c>
      <c r="E71" s="29">
        <f>급여대장!V71</f>
        <v>5368897</v>
      </c>
      <c r="F71" s="26">
        <f>TRUNC(MIN(MAX(E71,요율기준!$B$6),요율기준!$B$5)*요율기준!$B$4,-1)</f>
        <v>241600</v>
      </c>
      <c r="G71" s="26">
        <f t="shared" si="7"/>
        <v>241600</v>
      </c>
      <c r="H71" s="26">
        <f>TRUNC(E71*요율기준!$B$7,-1)</f>
        <v>190320</v>
      </c>
      <c r="I71" s="26">
        <f t="shared" si="8"/>
        <v>190320</v>
      </c>
      <c r="J71" s="26">
        <f>TRUNC(H71*요율기준!$B$8,-1)</f>
        <v>24640</v>
      </c>
      <c r="K71" s="26">
        <f t="shared" si="9"/>
        <v>24640</v>
      </c>
      <c r="L71" s="26">
        <f>TRUNC(E71*요율기준!$B$9,-1)</f>
        <v>48320</v>
      </c>
      <c r="M71" s="26">
        <f>TRUNC(E71*요율기준!$B$10,-1)</f>
        <v>61740</v>
      </c>
      <c r="N71" s="26">
        <f>TRUNC(E71*요율기준!$B$11,-1)</f>
        <v>78920</v>
      </c>
      <c r="O71" s="28">
        <f t="shared" si="10"/>
        <v>504880</v>
      </c>
      <c r="P71" s="28">
        <f t="shared" si="11"/>
        <v>597220</v>
      </c>
      <c r="Q71" s="28">
        <f t="shared" si="12"/>
        <v>1102100</v>
      </c>
    </row>
    <row r="72" spans="1:17" x14ac:dyDescent="0.4">
      <c r="A72" s="30">
        <f>급여대장!A72</f>
        <v>46235</v>
      </c>
      <c r="B72" s="17">
        <v>6</v>
      </c>
      <c r="C72" s="25" t="str">
        <f>급여대장!D72</f>
        <v>바다별</v>
      </c>
      <c r="D72" s="24" t="str">
        <f>급여대장!E72</f>
        <v>C&amp;S 1팀</v>
      </c>
      <c r="E72" s="29">
        <f>급여대장!V72</f>
        <v>5554063</v>
      </c>
      <c r="F72" s="26">
        <f>TRUNC(MIN(MAX(E72,요율기준!$B$6),요율기준!$B$5)*요율기준!$B$4,-1)</f>
        <v>249930</v>
      </c>
      <c r="G72" s="26">
        <f t="shared" si="7"/>
        <v>249930</v>
      </c>
      <c r="H72" s="26">
        <f>TRUNC(E72*요율기준!$B$7,-1)</f>
        <v>196890</v>
      </c>
      <c r="I72" s="26">
        <f t="shared" si="8"/>
        <v>196890</v>
      </c>
      <c r="J72" s="26">
        <f>TRUNC(H72*요율기준!$B$8,-1)</f>
        <v>25490</v>
      </c>
      <c r="K72" s="26">
        <f t="shared" si="9"/>
        <v>25490</v>
      </c>
      <c r="L72" s="26">
        <f>TRUNC(E72*요율기준!$B$9,-1)</f>
        <v>49980</v>
      </c>
      <c r="M72" s="26">
        <f>TRUNC(E72*요율기준!$B$10,-1)</f>
        <v>63870</v>
      </c>
      <c r="N72" s="26">
        <f>TRUNC(E72*요율기준!$B$11,-1)</f>
        <v>81640</v>
      </c>
      <c r="O72" s="28">
        <f t="shared" si="10"/>
        <v>522290</v>
      </c>
      <c r="P72" s="28">
        <f t="shared" si="11"/>
        <v>617820</v>
      </c>
      <c r="Q72" s="28">
        <f t="shared" si="12"/>
        <v>1140110</v>
      </c>
    </row>
    <row r="73" spans="1:17" x14ac:dyDescent="0.4">
      <c r="A73" s="30">
        <f>급여대장!A73</f>
        <v>46266</v>
      </c>
      <c r="B73" s="17">
        <v>6</v>
      </c>
      <c r="C73" s="25" t="str">
        <f>급여대장!D73</f>
        <v>바다별</v>
      </c>
      <c r="D73" s="24" t="str">
        <f>급여대장!E73</f>
        <v>C&amp;S 1팀</v>
      </c>
      <c r="E73" s="29">
        <f>급여대장!V73</f>
        <v>5615785</v>
      </c>
      <c r="F73" s="26">
        <f>TRUNC(MIN(MAX(E73,요율기준!$B$6),요율기준!$B$5)*요율기준!$B$4,-1)</f>
        <v>252710</v>
      </c>
      <c r="G73" s="26">
        <f t="shared" si="7"/>
        <v>252710</v>
      </c>
      <c r="H73" s="26">
        <f>TRUNC(E73*요율기준!$B$7,-1)</f>
        <v>199070</v>
      </c>
      <c r="I73" s="26">
        <f t="shared" si="8"/>
        <v>199070</v>
      </c>
      <c r="J73" s="26">
        <f>TRUNC(H73*요율기준!$B$8,-1)</f>
        <v>25770</v>
      </c>
      <c r="K73" s="26">
        <f t="shared" si="9"/>
        <v>25770</v>
      </c>
      <c r="L73" s="26">
        <f>TRUNC(E73*요율기준!$B$9,-1)</f>
        <v>50540</v>
      </c>
      <c r="M73" s="26">
        <f>TRUNC(E73*요율기준!$B$10,-1)</f>
        <v>64580</v>
      </c>
      <c r="N73" s="26">
        <f>TRUNC(E73*요율기준!$B$11,-1)</f>
        <v>82550</v>
      </c>
      <c r="O73" s="28">
        <f t="shared" si="10"/>
        <v>528090</v>
      </c>
      <c r="P73" s="28">
        <f t="shared" si="11"/>
        <v>624680</v>
      </c>
      <c r="Q73" s="28">
        <f t="shared" si="12"/>
        <v>1152770</v>
      </c>
    </row>
    <row r="74" spans="1:17" x14ac:dyDescent="0.4">
      <c r="A74" s="30">
        <f>급여대장!A74</f>
        <v>46296</v>
      </c>
      <c r="B74" s="17">
        <v>6</v>
      </c>
      <c r="C74" s="25" t="str">
        <f>급여대장!D74</f>
        <v>바다별</v>
      </c>
      <c r="D74" s="24" t="str">
        <f>급여대장!E74</f>
        <v>C&amp;S 1팀</v>
      </c>
      <c r="E74" s="29">
        <f>급여대장!V74</f>
        <v>5800951</v>
      </c>
      <c r="F74" s="26">
        <f>TRUNC(MIN(MAX(E74,요율기준!$B$6),요율기준!$B$5)*요율기준!$B$4,-1)</f>
        <v>261040</v>
      </c>
      <c r="G74" s="26">
        <f t="shared" si="7"/>
        <v>261040</v>
      </c>
      <c r="H74" s="26">
        <f>TRUNC(E74*요율기준!$B$7,-1)</f>
        <v>205640</v>
      </c>
      <c r="I74" s="26">
        <f t="shared" si="8"/>
        <v>205640</v>
      </c>
      <c r="J74" s="26">
        <f>TRUNC(H74*요율기준!$B$8,-1)</f>
        <v>26630</v>
      </c>
      <c r="K74" s="26">
        <f t="shared" si="9"/>
        <v>26630</v>
      </c>
      <c r="L74" s="26">
        <f>TRUNC(E74*요율기준!$B$9,-1)</f>
        <v>52200</v>
      </c>
      <c r="M74" s="26">
        <f>TRUNC(E74*요율기준!$B$10,-1)</f>
        <v>66710</v>
      </c>
      <c r="N74" s="26">
        <f>TRUNC(E74*요율기준!$B$11,-1)</f>
        <v>85270</v>
      </c>
      <c r="O74" s="28">
        <f t="shared" si="10"/>
        <v>545510</v>
      </c>
      <c r="P74" s="28">
        <f t="shared" si="11"/>
        <v>645290</v>
      </c>
      <c r="Q74" s="28">
        <f t="shared" si="12"/>
        <v>1190800</v>
      </c>
    </row>
    <row r="75" spans="1:17" x14ac:dyDescent="0.4">
      <c r="A75" s="30">
        <f>급여대장!A75</f>
        <v>46327</v>
      </c>
      <c r="B75" s="17">
        <v>6</v>
      </c>
      <c r="C75" s="25" t="str">
        <f>급여대장!D75</f>
        <v>바다별</v>
      </c>
      <c r="D75" s="24" t="str">
        <f>급여대장!E75</f>
        <v>C&amp;S 1팀</v>
      </c>
      <c r="E75" s="29">
        <f>급여대장!V75</f>
        <v>5986117</v>
      </c>
      <c r="F75" s="26">
        <f>TRUNC(MIN(MAX(E75,요율기준!$B$6),요율기준!$B$5)*요율기준!$B$4,-1)</f>
        <v>269370</v>
      </c>
      <c r="G75" s="26">
        <f t="shared" si="7"/>
        <v>269370</v>
      </c>
      <c r="H75" s="26">
        <f>TRUNC(E75*요율기준!$B$7,-1)</f>
        <v>212200</v>
      </c>
      <c r="I75" s="26">
        <f t="shared" si="8"/>
        <v>212200</v>
      </c>
      <c r="J75" s="26">
        <f>TRUNC(H75*요율기준!$B$8,-1)</f>
        <v>27470</v>
      </c>
      <c r="K75" s="26">
        <f t="shared" si="9"/>
        <v>27470</v>
      </c>
      <c r="L75" s="26">
        <f>TRUNC(E75*요율기준!$B$9,-1)</f>
        <v>53870</v>
      </c>
      <c r="M75" s="26">
        <f>TRUNC(E75*요율기준!$B$10,-1)</f>
        <v>68840</v>
      </c>
      <c r="N75" s="26">
        <f>TRUNC(E75*요율기준!$B$11,-1)</f>
        <v>87990</v>
      </c>
      <c r="O75" s="28">
        <f t="shared" si="10"/>
        <v>562910</v>
      </c>
      <c r="P75" s="28">
        <f t="shared" si="11"/>
        <v>665870</v>
      </c>
      <c r="Q75" s="28">
        <f t="shared" si="12"/>
        <v>1228780</v>
      </c>
    </row>
    <row r="76" spans="1:17" x14ac:dyDescent="0.4">
      <c r="A76" s="30">
        <f>급여대장!A76</f>
        <v>46357</v>
      </c>
      <c r="B76" s="17">
        <v>6</v>
      </c>
      <c r="C76" s="25" t="str">
        <f>급여대장!D76</f>
        <v>바다별</v>
      </c>
      <c r="D76" s="24" t="str">
        <f>급여대장!E76</f>
        <v>C&amp;S 1팀</v>
      </c>
      <c r="E76" s="29">
        <f>급여대장!V76</f>
        <v>5399758</v>
      </c>
      <c r="F76" s="26">
        <f>TRUNC(MIN(MAX(E76,요율기준!$B$6),요율기준!$B$5)*요율기준!$B$4,-1)</f>
        <v>242980</v>
      </c>
      <c r="G76" s="26">
        <f t="shared" si="7"/>
        <v>242980</v>
      </c>
      <c r="H76" s="26">
        <f>TRUNC(E76*요율기준!$B$7,-1)</f>
        <v>191420</v>
      </c>
      <c r="I76" s="26">
        <f t="shared" si="8"/>
        <v>191420</v>
      </c>
      <c r="J76" s="26">
        <f>TRUNC(H76*요율기준!$B$8,-1)</f>
        <v>24780</v>
      </c>
      <c r="K76" s="26">
        <f t="shared" si="9"/>
        <v>24780</v>
      </c>
      <c r="L76" s="26">
        <f>TRUNC(E76*요율기준!$B$9,-1)</f>
        <v>48590</v>
      </c>
      <c r="M76" s="26">
        <f>TRUNC(E76*요율기준!$B$10,-1)</f>
        <v>62090</v>
      </c>
      <c r="N76" s="26">
        <f>TRUNC(E76*요율기준!$B$11,-1)</f>
        <v>79370</v>
      </c>
      <c r="O76" s="28">
        <f t="shared" si="10"/>
        <v>507770</v>
      </c>
      <c r="P76" s="28">
        <f t="shared" si="11"/>
        <v>600640</v>
      </c>
      <c r="Q76" s="28">
        <f t="shared" si="12"/>
        <v>1108410</v>
      </c>
    </row>
    <row r="77" spans="1:17" x14ac:dyDescent="0.4">
      <c r="A77" s="30">
        <f>급여대장!A77</f>
        <v>46023</v>
      </c>
      <c r="B77" s="17">
        <v>7</v>
      </c>
      <c r="C77" s="25" t="str">
        <f>급여대장!D77</f>
        <v>사랑비</v>
      </c>
      <c r="D77" s="24" t="str">
        <f>급여대장!E77</f>
        <v>C&amp;S 2팀</v>
      </c>
      <c r="E77" s="29">
        <f>급여대장!V77</f>
        <v>5365680</v>
      </c>
      <c r="F77" s="26">
        <f>TRUNC(MIN(MAX(E77,요율기준!$B$6),요율기준!$B$5)*요율기준!$B$4,-1)</f>
        <v>241450</v>
      </c>
      <c r="G77" s="26">
        <f t="shared" si="7"/>
        <v>241450</v>
      </c>
      <c r="H77" s="26">
        <f>TRUNC(E77*요율기준!$B$7,-1)</f>
        <v>190210</v>
      </c>
      <c r="I77" s="26">
        <f t="shared" si="8"/>
        <v>190210</v>
      </c>
      <c r="J77" s="26">
        <f>TRUNC(H77*요율기준!$B$8,-1)</f>
        <v>24630</v>
      </c>
      <c r="K77" s="26">
        <f t="shared" si="9"/>
        <v>24630</v>
      </c>
      <c r="L77" s="26">
        <f>TRUNC(E77*요율기준!$B$9,-1)</f>
        <v>48290</v>
      </c>
      <c r="M77" s="26">
        <f>TRUNC(E77*요율기준!$B$10,-1)</f>
        <v>61700</v>
      </c>
      <c r="N77" s="26">
        <f>TRUNC(E77*요율기준!$B$11,-1)</f>
        <v>78870</v>
      </c>
      <c r="O77" s="28">
        <f t="shared" si="10"/>
        <v>504580</v>
      </c>
      <c r="P77" s="28">
        <f t="shared" si="11"/>
        <v>596860</v>
      </c>
      <c r="Q77" s="28">
        <f t="shared" si="12"/>
        <v>1101440</v>
      </c>
    </row>
    <row r="78" spans="1:17" x14ac:dyDescent="0.4">
      <c r="A78" s="30">
        <f>급여대장!A78</f>
        <v>46054</v>
      </c>
      <c r="B78" s="17">
        <v>7</v>
      </c>
      <c r="C78" s="25" t="str">
        <f>급여대장!D78</f>
        <v>사랑비</v>
      </c>
      <c r="D78" s="24" t="str">
        <f>급여대장!E78</f>
        <v>C&amp;S 2팀</v>
      </c>
      <c r="E78" s="29">
        <f>급여대장!V78</f>
        <v>4833870</v>
      </c>
      <c r="F78" s="26">
        <f>TRUNC(MIN(MAX(E78,요율기준!$B$6),요율기준!$B$5)*요율기준!$B$4,-1)</f>
        <v>217520</v>
      </c>
      <c r="G78" s="26">
        <f t="shared" si="7"/>
        <v>217520</v>
      </c>
      <c r="H78" s="26">
        <f>TRUNC(E78*요율기준!$B$7,-1)</f>
        <v>171360</v>
      </c>
      <c r="I78" s="26">
        <f t="shared" si="8"/>
        <v>171360</v>
      </c>
      <c r="J78" s="26">
        <f>TRUNC(H78*요율기준!$B$8,-1)</f>
        <v>22190</v>
      </c>
      <c r="K78" s="26">
        <f t="shared" si="9"/>
        <v>22190</v>
      </c>
      <c r="L78" s="26">
        <f>TRUNC(E78*요율기준!$B$9,-1)</f>
        <v>43500</v>
      </c>
      <c r="M78" s="26">
        <f>TRUNC(E78*요율기준!$B$10,-1)</f>
        <v>55580</v>
      </c>
      <c r="N78" s="26">
        <f>TRUNC(E78*요율기준!$B$11,-1)</f>
        <v>71050</v>
      </c>
      <c r="O78" s="28">
        <f t="shared" si="10"/>
        <v>454570</v>
      </c>
      <c r="P78" s="28">
        <f t="shared" si="11"/>
        <v>537700</v>
      </c>
      <c r="Q78" s="28">
        <f t="shared" si="12"/>
        <v>992270</v>
      </c>
    </row>
    <row r="79" spans="1:17" x14ac:dyDescent="0.4">
      <c r="A79" s="30">
        <f>급여대장!A79</f>
        <v>46082</v>
      </c>
      <c r="B79" s="17">
        <v>7</v>
      </c>
      <c r="C79" s="25" t="str">
        <f>급여대장!D79</f>
        <v>사랑비</v>
      </c>
      <c r="D79" s="24" t="str">
        <f>급여대장!E79</f>
        <v>C&amp;S 2팀</v>
      </c>
      <c r="E79" s="29">
        <f>급여대장!V79</f>
        <v>5001810</v>
      </c>
      <c r="F79" s="26">
        <f>TRUNC(MIN(MAX(E79,요율기준!$B$6),요율기준!$B$5)*요율기준!$B$4,-1)</f>
        <v>225080</v>
      </c>
      <c r="G79" s="26">
        <f t="shared" si="7"/>
        <v>225080</v>
      </c>
      <c r="H79" s="26">
        <f>TRUNC(E79*요율기준!$B$7,-1)</f>
        <v>177310</v>
      </c>
      <c r="I79" s="26">
        <f t="shared" si="8"/>
        <v>177310</v>
      </c>
      <c r="J79" s="26">
        <f>TRUNC(H79*요율기준!$B$8,-1)</f>
        <v>22960</v>
      </c>
      <c r="K79" s="26">
        <f t="shared" si="9"/>
        <v>22960</v>
      </c>
      <c r="L79" s="26">
        <f>TRUNC(E79*요율기준!$B$9,-1)</f>
        <v>45010</v>
      </c>
      <c r="M79" s="26">
        <f>TRUNC(E79*요율기준!$B$10,-1)</f>
        <v>57520</v>
      </c>
      <c r="N79" s="26">
        <f>TRUNC(E79*요율기준!$B$11,-1)</f>
        <v>73520</v>
      </c>
      <c r="O79" s="28">
        <f t="shared" si="10"/>
        <v>470360</v>
      </c>
      <c r="P79" s="28">
        <f t="shared" si="11"/>
        <v>556390</v>
      </c>
      <c r="Q79" s="28">
        <f t="shared" si="12"/>
        <v>1026750</v>
      </c>
    </row>
    <row r="80" spans="1:17" x14ac:dyDescent="0.4">
      <c r="A80" s="30">
        <f>급여대장!A80</f>
        <v>46113</v>
      </c>
      <c r="B80" s="17">
        <v>7</v>
      </c>
      <c r="C80" s="25" t="str">
        <f>급여대장!D80</f>
        <v>사랑비</v>
      </c>
      <c r="D80" s="24" t="str">
        <f>급여대장!E80</f>
        <v>C&amp;S 2팀</v>
      </c>
      <c r="E80" s="29">
        <f>급여대장!V80</f>
        <v>5057790</v>
      </c>
      <c r="F80" s="26">
        <f>TRUNC(MIN(MAX(E80,요율기준!$B$6),요율기준!$B$5)*요율기준!$B$4,-1)</f>
        <v>227600</v>
      </c>
      <c r="G80" s="26">
        <f t="shared" si="7"/>
        <v>227600</v>
      </c>
      <c r="H80" s="26">
        <f>TRUNC(E80*요율기준!$B$7,-1)</f>
        <v>179290</v>
      </c>
      <c r="I80" s="26">
        <f t="shared" si="8"/>
        <v>179290</v>
      </c>
      <c r="J80" s="26">
        <f>TRUNC(H80*요율기준!$B$8,-1)</f>
        <v>23210</v>
      </c>
      <c r="K80" s="26">
        <f t="shared" si="9"/>
        <v>23210</v>
      </c>
      <c r="L80" s="26">
        <f>TRUNC(E80*요율기준!$B$9,-1)</f>
        <v>45520</v>
      </c>
      <c r="M80" s="26">
        <f>TRUNC(E80*요율기준!$B$10,-1)</f>
        <v>58160</v>
      </c>
      <c r="N80" s="26">
        <f>TRUNC(E80*요율기준!$B$11,-1)</f>
        <v>74340</v>
      </c>
      <c r="O80" s="28">
        <f t="shared" si="10"/>
        <v>475620</v>
      </c>
      <c r="P80" s="28">
        <f t="shared" si="11"/>
        <v>562600</v>
      </c>
      <c r="Q80" s="28">
        <f t="shared" si="12"/>
        <v>1038220</v>
      </c>
    </row>
    <row r="81" spans="1:17" x14ac:dyDescent="0.4">
      <c r="A81" s="30">
        <f>급여대장!A81</f>
        <v>46143</v>
      </c>
      <c r="B81" s="17">
        <v>7</v>
      </c>
      <c r="C81" s="25" t="str">
        <f>급여대장!D81</f>
        <v>사랑비</v>
      </c>
      <c r="D81" s="24" t="str">
        <f>급여대장!E81</f>
        <v>C&amp;S 2팀</v>
      </c>
      <c r="E81" s="29">
        <f>급여대장!V81</f>
        <v>5225730</v>
      </c>
      <c r="F81" s="26">
        <f>TRUNC(MIN(MAX(E81,요율기준!$B$6),요율기준!$B$5)*요율기준!$B$4,-1)</f>
        <v>235150</v>
      </c>
      <c r="G81" s="26">
        <f t="shared" si="7"/>
        <v>235150</v>
      </c>
      <c r="H81" s="26">
        <f>TRUNC(E81*요율기준!$B$7,-1)</f>
        <v>185250</v>
      </c>
      <c r="I81" s="26">
        <f t="shared" si="8"/>
        <v>185250</v>
      </c>
      <c r="J81" s="26">
        <f>TRUNC(H81*요율기준!$B$8,-1)</f>
        <v>23980</v>
      </c>
      <c r="K81" s="26">
        <f t="shared" si="9"/>
        <v>23980</v>
      </c>
      <c r="L81" s="26">
        <f>TRUNC(E81*요율기준!$B$9,-1)</f>
        <v>47030</v>
      </c>
      <c r="M81" s="26">
        <f>TRUNC(E81*요율기준!$B$10,-1)</f>
        <v>60090</v>
      </c>
      <c r="N81" s="26">
        <f>TRUNC(E81*요율기준!$B$11,-1)</f>
        <v>76810</v>
      </c>
      <c r="O81" s="28">
        <f t="shared" si="10"/>
        <v>491410</v>
      </c>
      <c r="P81" s="28">
        <f t="shared" si="11"/>
        <v>581280</v>
      </c>
      <c r="Q81" s="28">
        <f t="shared" si="12"/>
        <v>1072690</v>
      </c>
    </row>
    <row r="82" spans="1:17" x14ac:dyDescent="0.4">
      <c r="A82" s="30">
        <f>급여대장!A82</f>
        <v>46174</v>
      </c>
      <c r="B82" s="17">
        <v>7</v>
      </c>
      <c r="C82" s="25" t="str">
        <f>급여대장!D82</f>
        <v>사랑비</v>
      </c>
      <c r="D82" s="24" t="str">
        <f>급여대장!E82</f>
        <v>C&amp;S 2팀</v>
      </c>
      <c r="E82" s="29">
        <f>급여대장!V82</f>
        <v>5393670</v>
      </c>
      <c r="F82" s="26">
        <f>TRUNC(MIN(MAX(E82,요율기준!$B$6),요율기준!$B$5)*요율기준!$B$4,-1)</f>
        <v>242710</v>
      </c>
      <c r="G82" s="26">
        <f t="shared" si="7"/>
        <v>242710</v>
      </c>
      <c r="H82" s="26">
        <f>TRUNC(E82*요율기준!$B$7,-1)</f>
        <v>191200</v>
      </c>
      <c r="I82" s="26">
        <f t="shared" si="8"/>
        <v>191200</v>
      </c>
      <c r="J82" s="26">
        <f>TRUNC(H82*요율기준!$B$8,-1)</f>
        <v>24760</v>
      </c>
      <c r="K82" s="26">
        <f t="shared" si="9"/>
        <v>24760</v>
      </c>
      <c r="L82" s="26">
        <f>TRUNC(E82*요율기준!$B$9,-1)</f>
        <v>48540</v>
      </c>
      <c r="M82" s="26">
        <f>TRUNC(E82*요율기준!$B$10,-1)</f>
        <v>62020</v>
      </c>
      <c r="N82" s="26">
        <f>TRUNC(E82*요율기준!$B$11,-1)</f>
        <v>79280</v>
      </c>
      <c r="O82" s="28">
        <f t="shared" si="10"/>
        <v>507210</v>
      </c>
      <c r="P82" s="28">
        <f t="shared" si="11"/>
        <v>599970</v>
      </c>
      <c r="Q82" s="28">
        <f t="shared" si="12"/>
        <v>1107180</v>
      </c>
    </row>
    <row r="83" spans="1:17" x14ac:dyDescent="0.4">
      <c r="A83" s="30">
        <f>급여대장!A83</f>
        <v>46204</v>
      </c>
      <c r="B83" s="17">
        <v>7</v>
      </c>
      <c r="C83" s="25" t="str">
        <f>급여대장!D83</f>
        <v>사랑비</v>
      </c>
      <c r="D83" s="24" t="str">
        <f>급여대장!E83</f>
        <v>C&amp;S 2팀</v>
      </c>
      <c r="E83" s="29">
        <f>급여대장!V83</f>
        <v>4861860</v>
      </c>
      <c r="F83" s="26">
        <f>TRUNC(MIN(MAX(E83,요율기준!$B$6),요율기준!$B$5)*요율기준!$B$4,-1)</f>
        <v>218780</v>
      </c>
      <c r="G83" s="26">
        <f t="shared" si="7"/>
        <v>218780</v>
      </c>
      <c r="H83" s="26">
        <f>TRUNC(E83*요율기준!$B$7,-1)</f>
        <v>172350</v>
      </c>
      <c r="I83" s="26">
        <f t="shared" si="8"/>
        <v>172350</v>
      </c>
      <c r="J83" s="26">
        <f>TRUNC(H83*요율기준!$B$8,-1)</f>
        <v>22310</v>
      </c>
      <c r="K83" s="26">
        <f t="shared" si="9"/>
        <v>22310</v>
      </c>
      <c r="L83" s="26">
        <f>TRUNC(E83*요율기준!$B$9,-1)</f>
        <v>43750</v>
      </c>
      <c r="M83" s="26">
        <f>TRUNC(E83*요율기준!$B$10,-1)</f>
        <v>55910</v>
      </c>
      <c r="N83" s="26">
        <f>TRUNC(E83*요율기준!$B$11,-1)</f>
        <v>71460</v>
      </c>
      <c r="O83" s="28">
        <f t="shared" si="10"/>
        <v>457190</v>
      </c>
      <c r="P83" s="28">
        <f t="shared" si="11"/>
        <v>540810</v>
      </c>
      <c r="Q83" s="28">
        <f t="shared" si="12"/>
        <v>998000</v>
      </c>
    </row>
    <row r="84" spans="1:17" x14ac:dyDescent="0.4">
      <c r="A84" s="30">
        <f>급여대장!A84</f>
        <v>46235</v>
      </c>
      <c r="B84" s="17">
        <v>7</v>
      </c>
      <c r="C84" s="25" t="str">
        <f>급여대장!D84</f>
        <v>사랑비</v>
      </c>
      <c r="D84" s="24" t="str">
        <f>급여대장!E84</f>
        <v>C&amp;S 2팀</v>
      </c>
      <c r="E84" s="29">
        <f>급여대장!V84</f>
        <v>4917840</v>
      </c>
      <c r="F84" s="26">
        <f>TRUNC(MIN(MAX(E84,요율기준!$B$6),요율기준!$B$5)*요율기준!$B$4,-1)</f>
        <v>221300</v>
      </c>
      <c r="G84" s="26">
        <f t="shared" si="7"/>
        <v>221300</v>
      </c>
      <c r="H84" s="26">
        <f>TRUNC(E84*요율기준!$B$7,-1)</f>
        <v>174330</v>
      </c>
      <c r="I84" s="26">
        <f t="shared" si="8"/>
        <v>174330</v>
      </c>
      <c r="J84" s="26">
        <f>TRUNC(H84*요율기준!$B$8,-1)</f>
        <v>22570</v>
      </c>
      <c r="K84" s="26">
        <f t="shared" si="9"/>
        <v>22570</v>
      </c>
      <c r="L84" s="26">
        <f>TRUNC(E84*요율기준!$B$9,-1)</f>
        <v>44260</v>
      </c>
      <c r="M84" s="26">
        <f>TRUNC(E84*요율기준!$B$10,-1)</f>
        <v>56550</v>
      </c>
      <c r="N84" s="26">
        <f>TRUNC(E84*요율기준!$B$11,-1)</f>
        <v>72290</v>
      </c>
      <c r="O84" s="28">
        <f t="shared" si="10"/>
        <v>462460</v>
      </c>
      <c r="P84" s="28">
        <f t="shared" si="11"/>
        <v>547040</v>
      </c>
      <c r="Q84" s="28">
        <f t="shared" si="12"/>
        <v>1009500</v>
      </c>
    </row>
    <row r="85" spans="1:17" x14ac:dyDescent="0.4">
      <c r="A85" s="30">
        <f>급여대장!A85</f>
        <v>46266</v>
      </c>
      <c r="B85" s="17">
        <v>7</v>
      </c>
      <c r="C85" s="25" t="str">
        <f>급여대장!D85</f>
        <v>사랑비</v>
      </c>
      <c r="D85" s="24" t="str">
        <f>급여대장!E85</f>
        <v>C&amp;S 2팀</v>
      </c>
      <c r="E85" s="29">
        <f>급여대장!V85</f>
        <v>5085780</v>
      </c>
      <c r="F85" s="26">
        <f>TRUNC(MIN(MAX(E85,요율기준!$B$6),요율기준!$B$5)*요율기준!$B$4,-1)</f>
        <v>228860</v>
      </c>
      <c r="G85" s="26">
        <f t="shared" si="7"/>
        <v>228860</v>
      </c>
      <c r="H85" s="26">
        <f>TRUNC(E85*요율기준!$B$7,-1)</f>
        <v>180290</v>
      </c>
      <c r="I85" s="26">
        <f t="shared" si="8"/>
        <v>180290</v>
      </c>
      <c r="J85" s="26">
        <f>TRUNC(H85*요율기준!$B$8,-1)</f>
        <v>23340</v>
      </c>
      <c r="K85" s="26">
        <f t="shared" si="9"/>
        <v>23340</v>
      </c>
      <c r="L85" s="26">
        <f>TRUNC(E85*요율기준!$B$9,-1)</f>
        <v>45770</v>
      </c>
      <c r="M85" s="26">
        <f>TRUNC(E85*요율기준!$B$10,-1)</f>
        <v>58480</v>
      </c>
      <c r="N85" s="26">
        <f>TRUNC(E85*요율기준!$B$11,-1)</f>
        <v>74760</v>
      </c>
      <c r="O85" s="28">
        <f t="shared" si="10"/>
        <v>478260</v>
      </c>
      <c r="P85" s="28">
        <f t="shared" si="11"/>
        <v>565730</v>
      </c>
      <c r="Q85" s="28">
        <f t="shared" si="12"/>
        <v>1043990</v>
      </c>
    </row>
    <row r="86" spans="1:17" x14ac:dyDescent="0.4">
      <c r="A86" s="30">
        <f>급여대장!A86</f>
        <v>46296</v>
      </c>
      <c r="B86" s="17">
        <v>7</v>
      </c>
      <c r="C86" s="25" t="str">
        <f>급여대장!D86</f>
        <v>사랑비</v>
      </c>
      <c r="D86" s="24" t="str">
        <f>급여대장!E86</f>
        <v>C&amp;S 2팀</v>
      </c>
      <c r="E86" s="29">
        <f>급여대장!V86</f>
        <v>5253720</v>
      </c>
      <c r="F86" s="26">
        <f>TRUNC(MIN(MAX(E86,요율기준!$B$6),요율기준!$B$5)*요율기준!$B$4,-1)</f>
        <v>236410</v>
      </c>
      <c r="G86" s="26">
        <f t="shared" si="7"/>
        <v>236410</v>
      </c>
      <c r="H86" s="26">
        <f>TRUNC(E86*요율기준!$B$7,-1)</f>
        <v>186240</v>
      </c>
      <c r="I86" s="26">
        <f t="shared" si="8"/>
        <v>186240</v>
      </c>
      <c r="J86" s="26">
        <f>TRUNC(H86*요율기준!$B$8,-1)</f>
        <v>24110</v>
      </c>
      <c r="K86" s="26">
        <f t="shared" si="9"/>
        <v>24110</v>
      </c>
      <c r="L86" s="26">
        <f>TRUNC(E86*요율기준!$B$9,-1)</f>
        <v>47280</v>
      </c>
      <c r="M86" s="26">
        <f>TRUNC(E86*요율기준!$B$10,-1)</f>
        <v>60410</v>
      </c>
      <c r="N86" s="26">
        <f>TRUNC(E86*요율기준!$B$11,-1)</f>
        <v>77220</v>
      </c>
      <c r="O86" s="28">
        <f t="shared" si="10"/>
        <v>494040</v>
      </c>
      <c r="P86" s="28">
        <f t="shared" si="11"/>
        <v>584390</v>
      </c>
      <c r="Q86" s="28">
        <f t="shared" si="12"/>
        <v>1078430</v>
      </c>
    </row>
    <row r="87" spans="1:17" x14ac:dyDescent="0.4">
      <c r="A87" s="30">
        <f>급여대장!A87</f>
        <v>46327</v>
      </c>
      <c r="B87" s="17">
        <v>7</v>
      </c>
      <c r="C87" s="25" t="str">
        <f>급여대장!D87</f>
        <v>사랑비</v>
      </c>
      <c r="D87" s="24" t="str">
        <f>급여대장!E87</f>
        <v>C&amp;S 2팀</v>
      </c>
      <c r="E87" s="29">
        <f>급여대장!V87</f>
        <v>5421660</v>
      </c>
      <c r="F87" s="26">
        <f>TRUNC(MIN(MAX(E87,요율기준!$B$6),요율기준!$B$5)*요율기준!$B$4,-1)</f>
        <v>243970</v>
      </c>
      <c r="G87" s="26">
        <f t="shared" si="7"/>
        <v>243970</v>
      </c>
      <c r="H87" s="26">
        <f>TRUNC(E87*요율기준!$B$7,-1)</f>
        <v>192190</v>
      </c>
      <c r="I87" s="26">
        <f t="shared" si="8"/>
        <v>192190</v>
      </c>
      <c r="J87" s="26">
        <f>TRUNC(H87*요율기준!$B$8,-1)</f>
        <v>24880</v>
      </c>
      <c r="K87" s="26">
        <f t="shared" si="9"/>
        <v>24880</v>
      </c>
      <c r="L87" s="26">
        <f>TRUNC(E87*요율기준!$B$9,-1)</f>
        <v>48790</v>
      </c>
      <c r="M87" s="26">
        <f>TRUNC(E87*요율기준!$B$10,-1)</f>
        <v>62340</v>
      </c>
      <c r="N87" s="26">
        <f>TRUNC(E87*요율기준!$B$11,-1)</f>
        <v>79690</v>
      </c>
      <c r="O87" s="28">
        <f t="shared" si="10"/>
        <v>509830</v>
      </c>
      <c r="P87" s="28">
        <f t="shared" si="11"/>
        <v>603070</v>
      </c>
      <c r="Q87" s="28">
        <f t="shared" si="12"/>
        <v>1112900</v>
      </c>
    </row>
    <row r="88" spans="1:17" x14ac:dyDescent="0.4">
      <c r="A88" s="30">
        <f>급여대장!A88</f>
        <v>46357</v>
      </c>
      <c r="B88" s="17">
        <v>7</v>
      </c>
      <c r="C88" s="25" t="str">
        <f>급여대장!D88</f>
        <v>사랑비</v>
      </c>
      <c r="D88" s="24" t="str">
        <f>급여대장!E88</f>
        <v>C&amp;S 2팀</v>
      </c>
      <c r="E88" s="29">
        <f>급여대장!V88</f>
        <v>4777890</v>
      </c>
      <c r="F88" s="26">
        <f>TRUNC(MIN(MAX(E88,요율기준!$B$6),요율기준!$B$5)*요율기준!$B$4,-1)</f>
        <v>215000</v>
      </c>
      <c r="G88" s="26">
        <f t="shared" si="7"/>
        <v>215000</v>
      </c>
      <c r="H88" s="26">
        <f>TRUNC(E88*요율기준!$B$7,-1)</f>
        <v>169370</v>
      </c>
      <c r="I88" s="26">
        <f t="shared" si="8"/>
        <v>169370</v>
      </c>
      <c r="J88" s="26">
        <f>TRUNC(H88*요율기준!$B$8,-1)</f>
        <v>21930</v>
      </c>
      <c r="K88" s="26">
        <f t="shared" si="9"/>
        <v>21930</v>
      </c>
      <c r="L88" s="26">
        <f>TRUNC(E88*요율기준!$B$9,-1)</f>
        <v>43000</v>
      </c>
      <c r="M88" s="26">
        <f>TRUNC(E88*요율기준!$B$10,-1)</f>
        <v>54940</v>
      </c>
      <c r="N88" s="26">
        <f>TRUNC(E88*요율기준!$B$11,-1)</f>
        <v>70230</v>
      </c>
      <c r="O88" s="28">
        <f t="shared" si="10"/>
        <v>449300</v>
      </c>
      <c r="P88" s="28">
        <f t="shared" si="11"/>
        <v>531470</v>
      </c>
      <c r="Q88" s="28">
        <f t="shared" si="12"/>
        <v>980770</v>
      </c>
    </row>
    <row r="89" spans="1:17" x14ac:dyDescent="0.4">
      <c r="A89" s="30">
        <f>급여대장!A89</f>
        <v>46023</v>
      </c>
      <c r="B89" s="17">
        <v>8</v>
      </c>
      <c r="C89" s="25" t="str">
        <f>급여대장!D89</f>
        <v>아름찬</v>
      </c>
      <c r="D89" s="24" t="str">
        <f>급여대장!E89</f>
        <v>SAP팀</v>
      </c>
      <c r="E89" s="29">
        <f>급여대장!V89</f>
        <v>4768560</v>
      </c>
      <c r="F89" s="26">
        <f>TRUNC(MIN(MAX(E89,요율기준!$B$6),요율기준!$B$5)*요율기준!$B$4,-1)</f>
        <v>214580</v>
      </c>
      <c r="G89" s="26">
        <f t="shared" si="7"/>
        <v>214580</v>
      </c>
      <c r="H89" s="26">
        <f>TRUNC(E89*요율기준!$B$7,-1)</f>
        <v>169040</v>
      </c>
      <c r="I89" s="26">
        <f t="shared" si="8"/>
        <v>169040</v>
      </c>
      <c r="J89" s="26">
        <f>TRUNC(H89*요율기준!$B$8,-1)</f>
        <v>21890</v>
      </c>
      <c r="K89" s="26">
        <f t="shared" si="9"/>
        <v>21890</v>
      </c>
      <c r="L89" s="26">
        <f>TRUNC(E89*요율기준!$B$9,-1)</f>
        <v>42910</v>
      </c>
      <c r="M89" s="26">
        <f>TRUNC(E89*요율기준!$B$10,-1)</f>
        <v>54830</v>
      </c>
      <c r="N89" s="26">
        <f>TRUNC(E89*요율기준!$B$11,-1)</f>
        <v>70090</v>
      </c>
      <c r="O89" s="28">
        <f t="shared" si="10"/>
        <v>448420</v>
      </c>
      <c r="P89" s="28">
        <f t="shared" si="11"/>
        <v>530430</v>
      </c>
      <c r="Q89" s="28">
        <f t="shared" si="12"/>
        <v>978850</v>
      </c>
    </row>
    <row r="90" spans="1:17" x14ac:dyDescent="0.4">
      <c r="A90" s="30">
        <f>급여대장!A90</f>
        <v>46054</v>
      </c>
      <c r="B90" s="17">
        <v>8</v>
      </c>
      <c r="C90" s="25" t="str">
        <f>급여대장!D90</f>
        <v>아름찬</v>
      </c>
      <c r="D90" s="24" t="str">
        <f>급여대장!E90</f>
        <v>SAP팀</v>
      </c>
      <c r="E90" s="29">
        <f>급여대장!V90</f>
        <v>4936500</v>
      </c>
      <c r="F90" s="26">
        <f>TRUNC(MIN(MAX(E90,요율기준!$B$6),요율기준!$B$5)*요율기준!$B$4,-1)</f>
        <v>222140</v>
      </c>
      <c r="G90" s="26">
        <f t="shared" si="7"/>
        <v>222140</v>
      </c>
      <c r="H90" s="26">
        <f>TRUNC(E90*요율기준!$B$7,-1)</f>
        <v>174990</v>
      </c>
      <c r="I90" s="26">
        <f t="shared" si="8"/>
        <v>174990</v>
      </c>
      <c r="J90" s="26">
        <f>TRUNC(H90*요율기준!$B$8,-1)</f>
        <v>22660</v>
      </c>
      <c r="K90" s="26">
        <f t="shared" si="9"/>
        <v>22660</v>
      </c>
      <c r="L90" s="26">
        <f>TRUNC(E90*요율기준!$B$9,-1)</f>
        <v>44420</v>
      </c>
      <c r="M90" s="26">
        <f>TRUNC(E90*요율기준!$B$10,-1)</f>
        <v>56760</v>
      </c>
      <c r="N90" s="26">
        <f>TRUNC(E90*요율기준!$B$11,-1)</f>
        <v>72560</v>
      </c>
      <c r="O90" s="28">
        <f t="shared" si="10"/>
        <v>464210</v>
      </c>
      <c r="P90" s="28">
        <f t="shared" si="11"/>
        <v>549110</v>
      </c>
      <c r="Q90" s="28">
        <f t="shared" si="12"/>
        <v>1013320</v>
      </c>
    </row>
    <row r="91" spans="1:17" x14ac:dyDescent="0.4">
      <c r="A91" s="30">
        <f>급여대장!A91</f>
        <v>46082</v>
      </c>
      <c r="B91" s="17">
        <v>8</v>
      </c>
      <c r="C91" s="25" t="str">
        <f>급여대장!D91</f>
        <v>아름찬</v>
      </c>
      <c r="D91" s="24" t="str">
        <f>급여대장!E91</f>
        <v>SAP팀</v>
      </c>
      <c r="E91" s="29">
        <f>급여대장!V91</f>
        <v>5104440</v>
      </c>
      <c r="F91" s="26">
        <f>TRUNC(MIN(MAX(E91,요율기준!$B$6),요율기준!$B$5)*요율기준!$B$4,-1)</f>
        <v>229690</v>
      </c>
      <c r="G91" s="26">
        <f t="shared" si="7"/>
        <v>229690</v>
      </c>
      <c r="H91" s="26">
        <f>TRUNC(E91*요율기준!$B$7,-1)</f>
        <v>180950</v>
      </c>
      <c r="I91" s="26">
        <f t="shared" si="8"/>
        <v>180950</v>
      </c>
      <c r="J91" s="26">
        <f>TRUNC(H91*요율기준!$B$8,-1)</f>
        <v>23430</v>
      </c>
      <c r="K91" s="26">
        <f t="shared" si="9"/>
        <v>23430</v>
      </c>
      <c r="L91" s="26">
        <f>TRUNC(E91*요율기준!$B$9,-1)</f>
        <v>45930</v>
      </c>
      <c r="M91" s="26">
        <f>TRUNC(E91*요율기준!$B$10,-1)</f>
        <v>58700</v>
      </c>
      <c r="N91" s="26">
        <f>TRUNC(E91*요율기준!$B$11,-1)</f>
        <v>75030</v>
      </c>
      <c r="O91" s="28">
        <f t="shared" si="10"/>
        <v>480000</v>
      </c>
      <c r="P91" s="28">
        <f t="shared" si="11"/>
        <v>567800</v>
      </c>
      <c r="Q91" s="28">
        <f t="shared" si="12"/>
        <v>1047800</v>
      </c>
    </row>
    <row r="92" spans="1:17" x14ac:dyDescent="0.4">
      <c r="A92" s="30">
        <f>급여대장!A92</f>
        <v>46113</v>
      </c>
      <c r="B92" s="17">
        <v>8</v>
      </c>
      <c r="C92" s="25" t="str">
        <f>급여대장!D92</f>
        <v>아름찬</v>
      </c>
      <c r="D92" s="24" t="str">
        <f>급여대장!E92</f>
        <v>SAP팀</v>
      </c>
      <c r="E92" s="29">
        <f>급여대장!V92</f>
        <v>5160420</v>
      </c>
      <c r="F92" s="26">
        <f>TRUNC(MIN(MAX(E92,요율기준!$B$6),요율기준!$B$5)*요율기준!$B$4,-1)</f>
        <v>232210</v>
      </c>
      <c r="G92" s="26">
        <f t="shared" si="7"/>
        <v>232210</v>
      </c>
      <c r="H92" s="26">
        <f>TRUNC(E92*요율기준!$B$7,-1)</f>
        <v>182930</v>
      </c>
      <c r="I92" s="26">
        <f t="shared" si="8"/>
        <v>182930</v>
      </c>
      <c r="J92" s="26">
        <f>TRUNC(H92*요율기준!$B$8,-1)</f>
        <v>23680</v>
      </c>
      <c r="K92" s="26">
        <f t="shared" si="9"/>
        <v>23680</v>
      </c>
      <c r="L92" s="26">
        <f>TRUNC(E92*요율기준!$B$9,-1)</f>
        <v>46440</v>
      </c>
      <c r="M92" s="26">
        <f>TRUNC(E92*요율기준!$B$10,-1)</f>
        <v>59340</v>
      </c>
      <c r="N92" s="26">
        <f>TRUNC(E92*요율기준!$B$11,-1)</f>
        <v>75850</v>
      </c>
      <c r="O92" s="28">
        <f t="shared" si="10"/>
        <v>485260</v>
      </c>
      <c r="P92" s="28">
        <f t="shared" si="11"/>
        <v>574010</v>
      </c>
      <c r="Q92" s="28">
        <f t="shared" si="12"/>
        <v>1059270</v>
      </c>
    </row>
    <row r="93" spans="1:17" x14ac:dyDescent="0.4">
      <c r="A93" s="30">
        <f>급여대장!A93</f>
        <v>46143</v>
      </c>
      <c r="B93" s="17">
        <v>8</v>
      </c>
      <c r="C93" s="25" t="str">
        <f>급여대장!D93</f>
        <v>아름찬</v>
      </c>
      <c r="D93" s="24" t="str">
        <f>급여대장!E93</f>
        <v>SAP팀</v>
      </c>
      <c r="E93" s="29">
        <f>급여대장!V93</f>
        <v>5328360</v>
      </c>
      <c r="F93" s="26">
        <f>TRUNC(MIN(MAX(E93,요율기준!$B$6),요율기준!$B$5)*요율기준!$B$4,-1)</f>
        <v>239770</v>
      </c>
      <c r="G93" s="26">
        <f t="shared" si="7"/>
        <v>239770</v>
      </c>
      <c r="H93" s="26">
        <f>TRUNC(E93*요율기준!$B$7,-1)</f>
        <v>188890</v>
      </c>
      <c r="I93" s="26">
        <f t="shared" si="8"/>
        <v>188890</v>
      </c>
      <c r="J93" s="26">
        <f>TRUNC(H93*요율기준!$B$8,-1)</f>
        <v>24460</v>
      </c>
      <c r="K93" s="26">
        <f t="shared" si="9"/>
        <v>24460</v>
      </c>
      <c r="L93" s="26">
        <f>TRUNC(E93*요율기준!$B$9,-1)</f>
        <v>47950</v>
      </c>
      <c r="M93" s="26">
        <f>TRUNC(E93*요율기준!$B$10,-1)</f>
        <v>61270</v>
      </c>
      <c r="N93" s="26">
        <f>TRUNC(E93*요율기준!$B$11,-1)</f>
        <v>78320</v>
      </c>
      <c r="O93" s="28">
        <f t="shared" si="10"/>
        <v>501070</v>
      </c>
      <c r="P93" s="28">
        <f t="shared" si="11"/>
        <v>592710</v>
      </c>
      <c r="Q93" s="28">
        <f t="shared" si="12"/>
        <v>1093780</v>
      </c>
    </row>
    <row r="94" spans="1:17" x14ac:dyDescent="0.4">
      <c r="A94" s="30">
        <f>급여대장!A94</f>
        <v>46174</v>
      </c>
      <c r="B94" s="17">
        <v>8</v>
      </c>
      <c r="C94" s="25" t="str">
        <f>급여대장!D94</f>
        <v>아름찬</v>
      </c>
      <c r="D94" s="24" t="str">
        <f>급여대장!E94</f>
        <v>SAP팀</v>
      </c>
      <c r="E94" s="29">
        <f>급여대장!V94</f>
        <v>4796550</v>
      </c>
      <c r="F94" s="26">
        <f>TRUNC(MIN(MAX(E94,요율기준!$B$6),요율기준!$B$5)*요율기준!$B$4,-1)</f>
        <v>215840</v>
      </c>
      <c r="G94" s="26">
        <f t="shared" si="7"/>
        <v>215840</v>
      </c>
      <c r="H94" s="26">
        <f>TRUNC(E94*요율기준!$B$7,-1)</f>
        <v>170030</v>
      </c>
      <c r="I94" s="26">
        <f t="shared" si="8"/>
        <v>170030</v>
      </c>
      <c r="J94" s="26">
        <f>TRUNC(H94*요율기준!$B$8,-1)</f>
        <v>22010</v>
      </c>
      <c r="K94" s="26">
        <f t="shared" si="9"/>
        <v>22010</v>
      </c>
      <c r="L94" s="26">
        <f>TRUNC(E94*요율기준!$B$9,-1)</f>
        <v>43160</v>
      </c>
      <c r="M94" s="26">
        <f>TRUNC(E94*요율기준!$B$10,-1)</f>
        <v>55160</v>
      </c>
      <c r="N94" s="26">
        <f>TRUNC(E94*요율기준!$B$11,-1)</f>
        <v>70500</v>
      </c>
      <c r="O94" s="28">
        <f t="shared" si="10"/>
        <v>451040</v>
      </c>
      <c r="P94" s="28">
        <f t="shared" si="11"/>
        <v>533540</v>
      </c>
      <c r="Q94" s="28">
        <f t="shared" si="12"/>
        <v>984580</v>
      </c>
    </row>
    <row r="95" spans="1:17" x14ac:dyDescent="0.4">
      <c r="A95" s="30">
        <f>급여대장!A95</f>
        <v>46204</v>
      </c>
      <c r="B95" s="17">
        <v>8</v>
      </c>
      <c r="C95" s="25" t="str">
        <f>급여대장!D95</f>
        <v>아름찬</v>
      </c>
      <c r="D95" s="24" t="str">
        <f>급여대장!E95</f>
        <v>SAP팀</v>
      </c>
      <c r="E95" s="29">
        <f>급여대장!V95</f>
        <v>4964490</v>
      </c>
      <c r="F95" s="26">
        <f>TRUNC(MIN(MAX(E95,요율기준!$B$6),요율기준!$B$5)*요율기준!$B$4,-1)</f>
        <v>223400</v>
      </c>
      <c r="G95" s="26">
        <f t="shared" si="7"/>
        <v>223400</v>
      </c>
      <c r="H95" s="26">
        <f>TRUNC(E95*요율기준!$B$7,-1)</f>
        <v>175990</v>
      </c>
      <c r="I95" s="26">
        <f t="shared" si="8"/>
        <v>175990</v>
      </c>
      <c r="J95" s="26">
        <f>TRUNC(H95*요율기준!$B$8,-1)</f>
        <v>22790</v>
      </c>
      <c r="K95" s="26">
        <f t="shared" si="9"/>
        <v>22790</v>
      </c>
      <c r="L95" s="26">
        <f>TRUNC(E95*요율기준!$B$9,-1)</f>
        <v>44680</v>
      </c>
      <c r="M95" s="26">
        <f>TRUNC(E95*요율기준!$B$10,-1)</f>
        <v>57090</v>
      </c>
      <c r="N95" s="26">
        <f>TRUNC(E95*요율기준!$B$11,-1)</f>
        <v>72970</v>
      </c>
      <c r="O95" s="28">
        <f t="shared" si="10"/>
        <v>466860</v>
      </c>
      <c r="P95" s="28">
        <f t="shared" si="11"/>
        <v>552240</v>
      </c>
      <c r="Q95" s="28">
        <f t="shared" si="12"/>
        <v>1019100</v>
      </c>
    </row>
    <row r="96" spans="1:17" x14ac:dyDescent="0.4">
      <c r="A96" s="30">
        <f>급여대장!A96</f>
        <v>46235</v>
      </c>
      <c r="B96" s="17">
        <v>8</v>
      </c>
      <c r="C96" s="25" t="str">
        <f>급여대장!D96</f>
        <v>아름찬</v>
      </c>
      <c r="D96" s="24" t="str">
        <f>급여대장!E96</f>
        <v>SAP팀</v>
      </c>
      <c r="E96" s="29">
        <f>급여대장!V96</f>
        <v>5020470</v>
      </c>
      <c r="F96" s="26">
        <f>TRUNC(MIN(MAX(E96,요율기준!$B$6),요율기준!$B$5)*요율기준!$B$4,-1)</f>
        <v>225920</v>
      </c>
      <c r="G96" s="26">
        <f t="shared" si="7"/>
        <v>225920</v>
      </c>
      <c r="H96" s="26">
        <f>TRUNC(E96*요율기준!$B$7,-1)</f>
        <v>177970</v>
      </c>
      <c r="I96" s="26">
        <f t="shared" si="8"/>
        <v>177970</v>
      </c>
      <c r="J96" s="26">
        <f>TRUNC(H96*요율기준!$B$8,-1)</f>
        <v>23040</v>
      </c>
      <c r="K96" s="26">
        <f t="shared" si="9"/>
        <v>23040</v>
      </c>
      <c r="L96" s="26">
        <f>TRUNC(E96*요율기준!$B$9,-1)</f>
        <v>45180</v>
      </c>
      <c r="M96" s="26">
        <f>TRUNC(E96*요율기준!$B$10,-1)</f>
        <v>57730</v>
      </c>
      <c r="N96" s="26">
        <f>TRUNC(E96*요율기준!$B$11,-1)</f>
        <v>73800</v>
      </c>
      <c r="O96" s="28">
        <f t="shared" si="10"/>
        <v>472110</v>
      </c>
      <c r="P96" s="28">
        <f t="shared" si="11"/>
        <v>558460</v>
      </c>
      <c r="Q96" s="28">
        <f t="shared" si="12"/>
        <v>1030570</v>
      </c>
    </row>
    <row r="97" spans="1:17" x14ac:dyDescent="0.4">
      <c r="A97" s="30">
        <f>급여대장!A97</f>
        <v>46266</v>
      </c>
      <c r="B97" s="17">
        <v>8</v>
      </c>
      <c r="C97" s="25" t="str">
        <f>급여대장!D97</f>
        <v>아름찬</v>
      </c>
      <c r="D97" s="24" t="str">
        <f>급여대장!E97</f>
        <v>SAP팀</v>
      </c>
      <c r="E97" s="29">
        <f>급여대장!V97</f>
        <v>5188410</v>
      </c>
      <c r="F97" s="26">
        <f>TRUNC(MIN(MAX(E97,요율기준!$B$6),요율기준!$B$5)*요율기준!$B$4,-1)</f>
        <v>233470</v>
      </c>
      <c r="G97" s="26">
        <f t="shared" si="7"/>
        <v>233470</v>
      </c>
      <c r="H97" s="26">
        <f>TRUNC(E97*요율기준!$B$7,-1)</f>
        <v>183920</v>
      </c>
      <c r="I97" s="26">
        <f t="shared" si="8"/>
        <v>183920</v>
      </c>
      <c r="J97" s="26">
        <f>TRUNC(H97*요율기준!$B$8,-1)</f>
        <v>23810</v>
      </c>
      <c r="K97" s="26">
        <f t="shared" si="9"/>
        <v>23810</v>
      </c>
      <c r="L97" s="26">
        <f>TRUNC(E97*요율기준!$B$9,-1)</f>
        <v>46690</v>
      </c>
      <c r="M97" s="26">
        <f>TRUNC(E97*요율기준!$B$10,-1)</f>
        <v>59660</v>
      </c>
      <c r="N97" s="26">
        <f>TRUNC(E97*요율기준!$B$11,-1)</f>
        <v>76260</v>
      </c>
      <c r="O97" s="28">
        <f t="shared" si="10"/>
        <v>487890</v>
      </c>
      <c r="P97" s="28">
        <f t="shared" si="11"/>
        <v>577120</v>
      </c>
      <c r="Q97" s="28">
        <f t="shared" si="12"/>
        <v>1065010</v>
      </c>
    </row>
    <row r="98" spans="1:17" x14ac:dyDescent="0.4">
      <c r="A98" s="30">
        <f>급여대장!A98</f>
        <v>46296</v>
      </c>
      <c r="B98" s="17">
        <v>8</v>
      </c>
      <c r="C98" s="25" t="str">
        <f>급여대장!D98</f>
        <v>아름찬</v>
      </c>
      <c r="D98" s="24" t="str">
        <f>급여대장!E98</f>
        <v>SAP팀</v>
      </c>
      <c r="E98" s="29">
        <f>급여대장!V98</f>
        <v>5356350</v>
      </c>
      <c r="F98" s="26">
        <f>TRUNC(MIN(MAX(E98,요율기준!$B$6),요율기준!$B$5)*요율기준!$B$4,-1)</f>
        <v>241030</v>
      </c>
      <c r="G98" s="26">
        <f t="shared" si="7"/>
        <v>241030</v>
      </c>
      <c r="H98" s="26">
        <f>TRUNC(E98*요율기준!$B$7,-1)</f>
        <v>189880</v>
      </c>
      <c r="I98" s="26">
        <f t="shared" si="8"/>
        <v>189880</v>
      </c>
      <c r="J98" s="26">
        <f>TRUNC(H98*요율기준!$B$8,-1)</f>
        <v>24580</v>
      </c>
      <c r="K98" s="26">
        <f t="shared" si="9"/>
        <v>24580</v>
      </c>
      <c r="L98" s="26">
        <f>TRUNC(E98*요율기준!$B$9,-1)</f>
        <v>48200</v>
      </c>
      <c r="M98" s="26">
        <f>TRUNC(E98*요율기준!$B$10,-1)</f>
        <v>61590</v>
      </c>
      <c r="N98" s="26">
        <f>TRUNC(E98*요율기준!$B$11,-1)</f>
        <v>78730</v>
      </c>
      <c r="O98" s="28">
        <f t="shared" si="10"/>
        <v>503690</v>
      </c>
      <c r="P98" s="28">
        <f t="shared" si="11"/>
        <v>595810</v>
      </c>
      <c r="Q98" s="28">
        <f t="shared" si="12"/>
        <v>1099500</v>
      </c>
    </row>
    <row r="99" spans="1:17" x14ac:dyDescent="0.4">
      <c r="A99" s="30">
        <f>급여대장!A99</f>
        <v>46327</v>
      </c>
      <c r="B99" s="17">
        <v>8</v>
      </c>
      <c r="C99" s="25" t="str">
        <f>급여대장!D99</f>
        <v>아름찬</v>
      </c>
      <c r="D99" s="24" t="str">
        <f>급여대장!E99</f>
        <v>SAP팀</v>
      </c>
      <c r="E99" s="29">
        <f>급여대장!V99</f>
        <v>4824540</v>
      </c>
      <c r="F99" s="26">
        <f>TRUNC(MIN(MAX(E99,요율기준!$B$6),요율기준!$B$5)*요율기준!$B$4,-1)</f>
        <v>217100</v>
      </c>
      <c r="G99" s="26">
        <f t="shared" si="7"/>
        <v>217100</v>
      </c>
      <c r="H99" s="26">
        <f>TRUNC(E99*요율기준!$B$7,-1)</f>
        <v>171020</v>
      </c>
      <c r="I99" s="26">
        <f t="shared" si="8"/>
        <v>171020</v>
      </c>
      <c r="J99" s="26">
        <f>TRUNC(H99*요율기준!$B$8,-1)</f>
        <v>22140</v>
      </c>
      <c r="K99" s="26">
        <f t="shared" si="9"/>
        <v>22140</v>
      </c>
      <c r="L99" s="26">
        <f>TRUNC(E99*요율기준!$B$9,-1)</f>
        <v>43420</v>
      </c>
      <c r="M99" s="26">
        <f>TRUNC(E99*요율기준!$B$10,-1)</f>
        <v>55480</v>
      </c>
      <c r="N99" s="26">
        <f>TRUNC(E99*요율기준!$B$11,-1)</f>
        <v>70920</v>
      </c>
      <c r="O99" s="28">
        <f t="shared" si="10"/>
        <v>453680</v>
      </c>
      <c r="P99" s="28">
        <f t="shared" si="11"/>
        <v>536660</v>
      </c>
      <c r="Q99" s="28">
        <f t="shared" si="12"/>
        <v>990340</v>
      </c>
    </row>
    <row r="100" spans="1:17" x14ac:dyDescent="0.4">
      <c r="A100" s="30">
        <f>급여대장!A100</f>
        <v>46357</v>
      </c>
      <c r="B100" s="17">
        <v>8</v>
      </c>
      <c r="C100" s="25" t="str">
        <f>급여대장!D100</f>
        <v>아름찬</v>
      </c>
      <c r="D100" s="24" t="str">
        <f>급여대장!E100</f>
        <v>SAP팀</v>
      </c>
      <c r="E100" s="29">
        <f>급여대장!V100</f>
        <v>4880520</v>
      </c>
      <c r="F100" s="26">
        <f>TRUNC(MIN(MAX(E100,요율기준!$B$6),요율기준!$B$5)*요율기준!$B$4,-1)</f>
        <v>219620</v>
      </c>
      <c r="G100" s="26">
        <f t="shared" si="7"/>
        <v>219620</v>
      </c>
      <c r="H100" s="26">
        <f>TRUNC(E100*요율기준!$B$7,-1)</f>
        <v>173010</v>
      </c>
      <c r="I100" s="26">
        <f t="shared" si="8"/>
        <v>173010</v>
      </c>
      <c r="J100" s="26">
        <f>TRUNC(H100*요율기준!$B$8,-1)</f>
        <v>22400</v>
      </c>
      <c r="K100" s="26">
        <f t="shared" si="9"/>
        <v>22400</v>
      </c>
      <c r="L100" s="26">
        <f>TRUNC(E100*요율기준!$B$9,-1)</f>
        <v>43920</v>
      </c>
      <c r="M100" s="26">
        <f>TRUNC(E100*요율기준!$B$10,-1)</f>
        <v>56120</v>
      </c>
      <c r="N100" s="26">
        <f>TRUNC(E100*요율기준!$B$11,-1)</f>
        <v>71740</v>
      </c>
      <c r="O100" s="28">
        <f t="shared" si="10"/>
        <v>458950</v>
      </c>
      <c r="P100" s="28">
        <f t="shared" si="11"/>
        <v>542890</v>
      </c>
      <c r="Q100" s="28">
        <f t="shared" si="12"/>
        <v>1001840</v>
      </c>
    </row>
    <row r="101" spans="1:17" x14ac:dyDescent="0.4">
      <c r="A101" s="30">
        <f>급여대장!A101</f>
        <v>46023</v>
      </c>
      <c r="B101" s="17">
        <v>9</v>
      </c>
      <c r="C101" s="25" t="str">
        <f>급여대장!D101</f>
        <v>자유롬</v>
      </c>
      <c r="D101" s="24" t="str">
        <f>급여대장!E101</f>
        <v>C&amp;M 1팀</v>
      </c>
      <c r="E101" s="29">
        <f>급여대장!V101</f>
        <v>4460039</v>
      </c>
      <c r="F101" s="26">
        <f>TRUNC(MIN(MAX(E101,요율기준!$B$6),요율기준!$B$5)*요율기준!$B$4,-1)</f>
        <v>200700</v>
      </c>
      <c r="G101" s="26">
        <f t="shared" si="7"/>
        <v>200700</v>
      </c>
      <c r="H101" s="26">
        <f>TRUNC(E101*요율기준!$B$7,-1)</f>
        <v>158100</v>
      </c>
      <c r="I101" s="26">
        <f t="shared" si="8"/>
        <v>158100</v>
      </c>
      <c r="J101" s="26">
        <f>TRUNC(H101*요율기준!$B$8,-1)</f>
        <v>20470</v>
      </c>
      <c r="K101" s="26">
        <f t="shared" si="9"/>
        <v>20470</v>
      </c>
      <c r="L101" s="26">
        <f>TRUNC(E101*요율기준!$B$9,-1)</f>
        <v>40140</v>
      </c>
      <c r="M101" s="26">
        <f>TRUNC(E101*요율기준!$B$10,-1)</f>
        <v>51290</v>
      </c>
      <c r="N101" s="26">
        <f>TRUNC(E101*요율기준!$B$11,-1)</f>
        <v>65560</v>
      </c>
      <c r="O101" s="28">
        <f t="shared" si="10"/>
        <v>419410</v>
      </c>
      <c r="P101" s="28">
        <f t="shared" si="11"/>
        <v>496120</v>
      </c>
      <c r="Q101" s="28">
        <f t="shared" si="12"/>
        <v>915530</v>
      </c>
    </row>
    <row r="102" spans="1:17" x14ac:dyDescent="0.4">
      <c r="A102" s="30">
        <f>급여대장!A102</f>
        <v>46054</v>
      </c>
      <c r="B102" s="17">
        <v>9</v>
      </c>
      <c r="C102" s="25" t="str">
        <f>급여대장!D102</f>
        <v>자유롬</v>
      </c>
      <c r="D102" s="24" t="str">
        <f>급여대장!E102</f>
        <v>C&amp;M 1팀</v>
      </c>
      <c r="E102" s="29">
        <f>급여대장!V102</f>
        <v>4610753</v>
      </c>
      <c r="F102" s="26">
        <f>TRUNC(MIN(MAX(E102,요율기준!$B$6),요율기준!$B$5)*요율기준!$B$4,-1)</f>
        <v>207480</v>
      </c>
      <c r="G102" s="26">
        <f t="shared" si="7"/>
        <v>207480</v>
      </c>
      <c r="H102" s="26">
        <f>TRUNC(E102*요율기준!$B$7,-1)</f>
        <v>163450</v>
      </c>
      <c r="I102" s="26">
        <f t="shared" si="8"/>
        <v>163450</v>
      </c>
      <c r="J102" s="26">
        <f>TRUNC(H102*요율기준!$B$8,-1)</f>
        <v>21160</v>
      </c>
      <c r="K102" s="26">
        <f t="shared" si="9"/>
        <v>21160</v>
      </c>
      <c r="L102" s="26">
        <f>TRUNC(E102*요율기준!$B$9,-1)</f>
        <v>41490</v>
      </c>
      <c r="M102" s="26">
        <f>TRUNC(E102*요율기준!$B$10,-1)</f>
        <v>53020</v>
      </c>
      <c r="N102" s="26">
        <f>TRUNC(E102*요율기준!$B$11,-1)</f>
        <v>67770</v>
      </c>
      <c r="O102" s="28">
        <f t="shared" si="10"/>
        <v>433580</v>
      </c>
      <c r="P102" s="28">
        <f t="shared" si="11"/>
        <v>512880</v>
      </c>
      <c r="Q102" s="28">
        <f t="shared" si="12"/>
        <v>946460</v>
      </c>
    </row>
    <row r="103" spans="1:17" x14ac:dyDescent="0.4">
      <c r="A103" s="30">
        <f>급여대장!A103</f>
        <v>46082</v>
      </c>
      <c r="B103" s="17">
        <v>9</v>
      </c>
      <c r="C103" s="25" t="str">
        <f>급여대장!D103</f>
        <v>자유롬</v>
      </c>
      <c r="D103" s="24" t="str">
        <f>급여대장!E103</f>
        <v>C&amp;M 1팀</v>
      </c>
      <c r="E103" s="29">
        <f>급여대장!V103</f>
        <v>4660991</v>
      </c>
      <c r="F103" s="26">
        <f>TRUNC(MIN(MAX(E103,요율기준!$B$6),요율기준!$B$5)*요율기준!$B$4,-1)</f>
        <v>209740</v>
      </c>
      <c r="G103" s="26">
        <f t="shared" si="7"/>
        <v>209740</v>
      </c>
      <c r="H103" s="26">
        <f>TRUNC(E103*요율기준!$B$7,-1)</f>
        <v>165230</v>
      </c>
      <c r="I103" s="26">
        <f t="shared" si="8"/>
        <v>165230</v>
      </c>
      <c r="J103" s="26">
        <f>TRUNC(H103*요율기준!$B$8,-1)</f>
        <v>21390</v>
      </c>
      <c r="K103" s="26">
        <f t="shared" si="9"/>
        <v>21390</v>
      </c>
      <c r="L103" s="26">
        <f>TRUNC(E103*요율기준!$B$9,-1)</f>
        <v>41940</v>
      </c>
      <c r="M103" s="26">
        <f>TRUNC(E103*요율기준!$B$10,-1)</f>
        <v>53600</v>
      </c>
      <c r="N103" s="26">
        <f>TRUNC(E103*요율기준!$B$11,-1)</f>
        <v>68510</v>
      </c>
      <c r="O103" s="28">
        <f t="shared" si="10"/>
        <v>438300</v>
      </c>
      <c r="P103" s="28">
        <f t="shared" si="11"/>
        <v>518470</v>
      </c>
      <c r="Q103" s="28">
        <f t="shared" si="12"/>
        <v>956770</v>
      </c>
    </row>
    <row r="104" spans="1:17" x14ac:dyDescent="0.4">
      <c r="A104" s="30">
        <f>급여대장!A104</f>
        <v>46113</v>
      </c>
      <c r="B104" s="17">
        <v>9</v>
      </c>
      <c r="C104" s="25" t="str">
        <f>급여대장!D104</f>
        <v>자유롬</v>
      </c>
      <c r="D104" s="24" t="str">
        <f>급여대장!E104</f>
        <v>C&amp;M 1팀</v>
      </c>
      <c r="E104" s="29">
        <f>급여대장!V104</f>
        <v>4811705</v>
      </c>
      <c r="F104" s="26">
        <f>TRUNC(MIN(MAX(E104,요율기준!$B$6),요율기준!$B$5)*요율기준!$B$4,-1)</f>
        <v>216520</v>
      </c>
      <c r="G104" s="26">
        <f t="shared" si="7"/>
        <v>216520</v>
      </c>
      <c r="H104" s="26">
        <f>TRUNC(E104*요율기준!$B$7,-1)</f>
        <v>170570</v>
      </c>
      <c r="I104" s="26">
        <f t="shared" si="8"/>
        <v>170570</v>
      </c>
      <c r="J104" s="26">
        <f>TRUNC(H104*요율기준!$B$8,-1)</f>
        <v>22080</v>
      </c>
      <c r="K104" s="26">
        <f t="shared" si="9"/>
        <v>22080</v>
      </c>
      <c r="L104" s="26">
        <f>TRUNC(E104*요율기준!$B$9,-1)</f>
        <v>43300</v>
      </c>
      <c r="M104" s="26">
        <f>TRUNC(E104*요율기준!$B$10,-1)</f>
        <v>55330</v>
      </c>
      <c r="N104" s="26">
        <f>TRUNC(E104*요율기준!$B$11,-1)</f>
        <v>70730</v>
      </c>
      <c r="O104" s="28">
        <f t="shared" si="10"/>
        <v>452470</v>
      </c>
      <c r="P104" s="28">
        <f t="shared" si="11"/>
        <v>535230</v>
      </c>
      <c r="Q104" s="28">
        <f t="shared" si="12"/>
        <v>987700</v>
      </c>
    </row>
    <row r="105" spans="1:17" x14ac:dyDescent="0.4">
      <c r="A105" s="30">
        <f>급여대장!A105</f>
        <v>46143</v>
      </c>
      <c r="B105" s="17">
        <v>9</v>
      </c>
      <c r="C105" s="25" t="str">
        <f>급여대장!D105</f>
        <v>자유롬</v>
      </c>
      <c r="D105" s="24" t="str">
        <f>급여대장!E105</f>
        <v>C&amp;M 1팀</v>
      </c>
      <c r="E105" s="29">
        <f>급여대장!V105</f>
        <v>4962419</v>
      </c>
      <c r="F105" s="26">
        <f>TRUNC(MIN(MAX(E105,요율기준!$B$6),요율기준!$B$5)*요율기준!$B$4,-1)</f>
        <v>223300</v>
      </c>
      <c r="G105" s="26">
        <f t="shared" si="7"/>
        <v>223300</v>
      </c>
      <c r="H105" s="26">
        <f>TRUNC(E105*요율기준!$B$7,-1)</f>
        <v>175910</v>
      </c>
      <c r="I105" s="26">
        <f t="shared" si="8"/>
        <v>175910</v>
      </c>
      <c r="J105" s="26">
        <f>TRUNC(H105*요율기준!$B$8,-1)</f>
        <v>22780</v>
      </c>
      <c r="K105" s="26">
        <f t="shared" si="9"/>
        <v>22780</v>
      </c>
      <c r="L105" s="26">
        <f>TRUNC(E105*요율기준!$B$9,-1)</f>
        <v>44660</v>
      </c>
      <c r="M105" s="26">
        <f>TRUNC(E105*요율기준!$B$10,-1)</f>
        <v>57060</v>
      </c>
      <c r="N105" s="26">
        <f>TRUNC(E105*요율기준!$B$11,-1)</f>
        <v>72940</v>
      </c>
      <c r="O105" s="28">
        <f t="shared" si="10"/>
        <v>466650</v>
      </c>
      <c r="P105" s="28">
        <f t="shared" si="11"/>
        <v>551990</v>
      </c>
      <c r="Q105" s="28">
        <f t="shared" si="12"/>
        <v>1018640</v>
      </c>
    </row>
    <row r="106" spans="1:17" x14ac:dyDescent="0.4">
      <c r="A106" s="30">
        <f>급여대장!A106</f>
        <v>46174</v>
      </c>
      <c r="B106" s="17">
        <v>9</v>
      </c>
      <c r="C106" s="25" t="str">
        <f>급여대장!D106</f>
        <v>자유롬</v>
      </c>
      <c r="D106" s="24" t="str">
        <f>급여대장!E106</f>
        <v>C&amp;M 1팀</v>
      </c>
      <c r="E106" s="29">
        <f>급여대장!V106</f>
        <v>4485158</v>
      </c>
      <c r="F106" s="26">
        <f>TRUNC(MIN(MAX(E106,요율기준!$B$6),요율기준!$B$5)*요율기준!$B$4,-1)</f>
        <v>201830</v>
      </c>
      <c r="G106" s="26">
        <f t="shared" si="7"/>
        <v>201830</v>
      </c>
      <c r="H106" s="26">
        <f>TRUNC(E106*요율기준!$B$7,-1)</f>
        <v>158990</v>
      </c>
      <c r="I106" s="26">
        <f t="shared" si="8"/>
        <v>158990</v>
      </c>
      <c r="J106" s="26">
        <f>TRUNC(H106*요율기준!$B$8,-1)</f>
        <v>20580</v>
      </c>
      <c r="K106" s="26">
        <f t="shared" si="9"/>
        <v>20580</v>
      </c>
      <c r="L106" s="26">
        <f>TRUNC(E106*요율기준!$B$9,-1)</f>
        <v>40360</v>
      </c>
      <c r="M106" s="26">
        <f>TRUNC(E106*요율기준!$B$10,-1)</f>
        <v>51570</v>
      </c>
      <c r="N106" s="26">
        <f>TRUNC(E106*요율기준!$B$11,-1)</f>
        <v>65930</v>
      </c>
      <c r="O106" s="28">
        <f t="shared" si="10"/>
        <v>421760</v>
      </c>
      <c r="P106" s="28">
        <f t="shared" si="11"/>
        <v>498900</v>
      </c>
      <c r="Q106" s="28">
        <f t="shared" si="12"/>
        <v>920660</v>
      </c>
    </row>
    <row r="107" spans="1:17" x14ac:dyDescent="0.4">
      <c r="A107" s="30">
        <f>급여대장!A107</f>
        <v>46204</v>
      </c>
      <c r="B107" s="17">
        <v>9</v>
      </c>
      <c r="C107" s="25" t="str">
        <f>급여대장!D107</f>
        <v>자유롬</v>
      </c>
      <c r="D107" s="24" t="str">
        <f>급여대장!E107</f>
        <v>C&amp;M 1팀</v>
      </c>
      <c r="E107" s="29">
        <f>급여대장!V107</f>
        <v>4535396</v>
      </c>
      <c r="F107" s="26">
        <f>TRUNC(MIN(MAX(E107,요율기준!$B$6),요율기준!$B$5)*요율기준!$B$4,-1)</f>
        <v>204090</v>
      </c>
      <c r="G107" s="26">
        <f t="shared" si="7"/>
        <v>204090</v>
      </c>
      <c r="H107" s="26">
        <f>TRUNC(E107*요율기준!$B$7,-1)</f>
        <v>160770</v>
      </c>
      <c r="I107" s="26">
        <f t="shared" si="8"/>
        <v>160770</v>
      </c>
      <c r="J107" s="26">
        <f>TRUNC(H107*요율기준!$B$8,-1)</f>
        <v>20810</v>
      </c>
      <c r="K107" s="26">
        <f t="shared" si="9"/>
        <v>20810</v>
      </c>
      <c r="L107" s="26">
        <f>TRUNC(E107*요율기준!$B$9,-1)</f>
        <v>40810</v>
      </c>
      <c r="M107" s="26">
        <f>TRUNC(E107*요율기준!$B$10,-1)</f>
        <v>52150</v>
      </c>
      <c r="N107" s="26">
        <f>TRUNC(E107*요율기준!$B$11,-1)</f>
        <v>66670</v>
      </c>
      <c r="O107" s="28">
        <f t="shared" si="10"/>
        <v>426480</v>
      </c>
      <c r="P107" s="28">
        <f t="shared" si="11"/>
        <v>504490</v>
      </c>
      <c r="Q107" s="28">
        <f t="shared" si="12"/>
        <v>930970</v>
      </c>
    </row>
    <row r="108" spans="1:17" x14ac:dyDescent="0.4">
      <c r="A108" s="30">
        <f>급여대장!A108</f>
        <v>46235</v>
      </c>
      <c r="B108" s="17">
        <v>9</v>
      </c>
      <c r="C108" s="25" t="str">
        <f>급여대장!D108</f>
        <v>자유롬</v>
      </c>
      <c r="D108" s="24" t="str">
        <f>급여대장!E108</f>
        <v>C&amp;M 1팀</v>
      </c>
      <c r="E108" s="29">
        <f>급여대장!V108</f>
        <v>4686110</v>
      </c>
      <c r="F108" s="26">
        <f>TRUNC(MIN(MAX(E108,요율기준!$B$6),요율기준!$B$5)*요율기준!$B$4,-1)</f>
        <v>210870</v>
      </c>
      <c r="G108" s="26">
        <f t="shared" si="7"/>
        <v>210870</v>
      </c>
      <c r="H108" s="26">
        <f>TRUNC(E108*요율기준!$B$7,-1)</f>
        <v>166120</v>
      </c>
      <c r="I108" s="26">
        <f t="shared" si="8"/>
        <v>166120</v>
      </c>
      <c r="J108" s="26">
        <f>TRUNC(H108*요율기준!$B$8,-1)</f>
        <v>21510</v>
      </c>
      <c r="K108" s="26">
        <f t="shared" si="9"/>
        <v>21510</v>
      </c>
      <c r="L108" s="26">
        <f>TRUNC(E108*요율기준!$B$9,-1)</f>
        <v>42170</v>
      </c>
      <c r="M108" s="26">
        <f>TRUNC(E108*요율기준!$B$10,-1)</f>
        <v>53890</v>
      </c>
      <c r="N108" s="26">
        <f>TRUNC(E108*요율기준!$B$11,-1)</f>
        <v>68880</v>
      </c>
      <c r="O108" s="28">
        <f t="shared" si="10"/>
        <v>440670</v>
      </c>
      <c r="P108" s="28">
        <f t="shared" si="11"/>
        <v>521270</v>
      </c>
      <c r="Q108" s="28">
        <f t="shared" si="12"/>
        <v>961940</v>
      </c>
    </row>
    <row r="109" spans="1:17" x14ac:dyDescent="0.4">
      <c r="A109" s="30">
        <f>급여대장!A109</f>
        <v>46266</v>
      </c>
      <c r="B109" s="17">
        <v>9</v>
      </c>
      <c r="C109" s="25" t="str">
        <f>급여대장!D109</f>
        <v>자유롬</v>
      </c>
      <c r="D109" s="24" t="str">
        <f>급여대장!E109</f>
        <v>C&amp;M 1팀</v>
      </c>
      <c r="E109" s="29">
        <f>급여대장!V109</f>
        <v>4836824</v>
      </c>
      <c r="F109" s="26">
        <f>TRUNC(MIN(MAX(E109,요율기준!$B$6),요율기준!$B$5)*요율기준!$B$4,-1)</f>
        <v>217650</v>
      </c>
      <c r="G109" s="26">
        <f t="shared" si="7"/>
        <v>217650</v>
      </c>
      <c r="H109" s="26">
        <f>TRUNC(E109*요율기준!$B$7,-1)</f>
        <v>171460</v>
      </c>
      <c r="I109" s="26">
        <f t="shared" si="8"/>
        <v>171460</v>
      </c>
      <c r="J109" s="26">
        <f>TRUNC(H109*요율기준!$B$8,-1)</f>
        <v>22200</v>
      </c>
      <c r="K109" s="26">
        <f t="shared" si="9"/>
        <v>22200</v>
      </c>
      <c r="L109" s="26">
        <f>TRUNC(E109*요율기준!$B$9,-1)</f>
        <v>43530</v>
      </c>
      <c r="M109" s="26">
        <f>TRUNC(E109*요율기준!$B$10,-1)</f>
        <v>55620</v>
      </c>
      <c r="N109" s="26">
        <f>TRUNC(E109*요율기준!$B$11,-1)</f>
        <v>71100</v>
      </c>
      <c r="O109" s="28">
        <f t="shared" si="10"/>
        <v>454840</v>
      </c>
      <c r="P109" s="28">
        <f t="shared" si="11"/>
        <v>538030</v>
      </c>
      <c r="Q109" s="28">
        <f t="shared" si="12"/>
        <v>992870</v>
      </c>
    </row>
    <row r="110" spans="1:17" x14ac:dyDescent="0.4">
      <c r="A110" s="30">
        <f>급여대장!A110</f>
        <v>46296</v>
      </c>
      <c r="B110" s="17">
        <v>9</v>
      </c>
      <c r="C110" s="25" t="str">
        <f>급여대장!D110</f>
        <v>자유롬</v>
      </c>
      <c r="D110" s="24" t="str">
        <f>급여대장!E110</f>
        <v>C&amp;M 1팀</v>
      </c>
      <c r="E110" s="29">
        <f>급여대장!V110</f>
        <v>4987538</v>
      </c>
      <c r="F110" s="26">
        <f>TRUNC(MIN(MAX(E110,요율기준!$B$6),요율기준!$B$5)*요율기준!$B$4,-1)</f>
        <v>224430</v>
      </c>
      <c r="G110" s="26">
        <f t="shared" si="7"/>
        <v>224430</v>
      </c>
      <c r="H110" s="26">
        <f>TRUNC(E110*요율기준!$B$7,-1)</f>
        <v>176800</v>
      </c>
      <c r="I110" s="26">
        <f t="shared" si="8"/>
        <v>176800</v>
      </c>
      <c r="J110" s="26">
        <f>TRUNC(H110*요율기준!$B$8,-1)</f>
        <v>22890</v>
      </c>
      <c r="K110" s="26">
        <f t="shared" si="9"/>
        <v>22890</v>
      </c>
      <c r="L110" s="26">
        <f>TRUNC(E110*요율기준!$B$9,-1)</f>
        <v>44880</v>
      </c>
      <c r="M110" s="26">
        <f>TRUNC(E110*요율기준!$B$10,-1)</f>
        <v>57350</v>
      </c>
      <c r="N110" s="26">
        <f>TRUNC(E110*요율기준!$B$11,-1)</f>
        <v>73310</v>
      </c>
      <c r="O110" s="28">
        <f t="shared" si="10"/>
        <v>469000</v>
      </c>
      <c r="P110" s="28">
        <f t="shared" si="11"/>
        <v>554780</v>
      </c>
      <c r="Q110" s="28">
        <f t="shared" si="12"/>
        <v>1023780</v>
      </c>
    </row>
    <row r="111" spans="1:17" x14ac:dyDescent="0.4">
      <c r="A111" s="30">
        <f>급여대장!A111</f>
        <v>46327</v>
      </c>
      <c r="B111" s="17">
        <v>9</v>
      </c>
      <c r="C111" s="25" t="str">
        <f>급여대장!D111</f>
        <v>자유롬</v>
      </c>
      <c r="D111" s="24" t="str">
        <f>급여대장!E111</f>
        <v>C&amp;M 1팀</v>
      </c>
      <c r="E111" s="29">
        <f>급여대장!V111</f>
        <v>4409801</v>
      </c>
      <c r="F111" s="26">
        <f>TRUNC(MIN(MAX(E111,요율기준!$B$6),요율기준!$B$5)*요율기준!$B$4,-1)</f>
        <v>198440</v>
      </c>
      <c r="G111" s="26">
        <f t="shared" si="7"/>
        <v>198440</v>
      </c>
      <c r="H111" s="26">
        <f>TRUNC(E111*요율기준!$B$7,-1)</f>
        <v>156320</v>
      </c>
      <c r="I111" s="26">
        <f t="shared" si="8"/>
        <v>156320</v>
      </c>
      <c r="J111" s="26">
        <f>TRUNC(H111*요율기준!$B$8,-1)</f>
        <v>20240</v>
      </c>
      <c r="K111" s="26">
        <f t="shared" si="9"/>
        <v>20240</v>
      </c>
      <c r="L111" s="26">
        <f>TRUNC(E111*요율기준!$B$9,-1)</f>
        <v>39680</v>
      </c>
      <c r="M111" s="26">
        <f>TRUNC(E111*요율기준!$B$10,-1)</f>
        <v>50710</v>
      </c>
      <c r="N111" s="26">
        <f>TRUNC(E111*요율기준!$B$11,-1)</f>
        <v>64820</v>
      </c>
      <c r="O111" s="28">
        <f t="shared" si="10"/>
        <v>414680</v>
      </c>
      <c r="P111" s="28">
        <f t="shared" si="11"/>
        <v>490530</v>
      </c>
      <c r="Q111" s="28">
        <f t="shared" si="12"/>
        <v>905210</v>
      </c>
    </row>
    <row r="112" spans="1:17" x14ac:dyDescent="0.4">
      <c r="A112" s="30">
        <f>급여대장!A112</f>
        <v>46357</v>
      </c>
      <c r="B112" s="17">
        <v>9</v>
      </c>
      <c r="C112" s="25" t="str">
        <f>급여대장!D112</f>
        <v>자유롬</v>
      </c>
      <c r="D112" s="24" t="str">
        <f>급여대장!E112</f>
        <v>C&amp;M 1팀</v>
      </c>
      <c r="E112" s="29">
        <f>급여대장!V112</f>
        <v>4560515</v>
      </c>
      <c r="F112" s="26">
        <f>TRUNC(MIN(MAX(E112,요율기준!$B$6),요율기준!$B$5)*요율기준!$B$4,-1)</f>
        <v>205220</v>
      </c>
      <c r="G112" s="26">
        <f t="shared" si="7"/>
        <v>205220</v>
      </c>
      <c r="H112" s="26">
        <f>TRUNC(E112*요율기준!$B$7,-1)</f>
        <v>161670</v>
      </c>
      <c r="I112" s="26">
        <f t="shared" si="8"/>
        <v>161670</v>
      </c>
      <c r="J112" s="26">
        <f>TRUNC(H112*요율기준!$B$8,-1)</f>
        <v>20930</v>
      </c>
      <c r="K112" s="26">
        <f t="shared" si="9"/>
        <v>20930</v>
      </c>
      <c r="L112" s="26">
        <f>TRUNC(E112*요율기준!$B$9,-1)</f>
        <v>41040</v>
      </c>
      <c r="M112" s="26">
        <f>TRUNC(E112*요율기준!$B$10,-1)</f>
        <v>52440</v>
      </c>
      <c r="N112" s="26">
        <f>TRUNC(E112*요율기준!$B$11,-1)</f>
        <v>67030</v>
      </c>
      <c r="O112" s="28">
        <f t="shared" si="10"/>
        <v>428860</v>
      </c>
      <c r="P112" s="28">
        <f t="shared" si="11"/>
        <v>507290</v>
      </c>
      <c r="Q112" s="28">
        <f t="shared" si="12"/>
        <v>936150</v>
      </c>
    </row>
    <row r="113" spans="1:17" x14ac:dyDescent="0.4">
      <c r="A113" s="30">
        <f>급여대장!A113</f>
        <v>46023</v>
      </c>
      <c r="B113" s="17">
        <v>10</v>
      </c>
      <c r="C113" s="25" t="str">
        <f>급여대장!D113</f>
        <v>차분해</v>
      </c>
      <c r="D113" s="24" t="str">
        <f>급여대장!E113</f>
        <v>SAP팀</v>
      </c>
      <c r="E113" s="29">
        <f>급여대장!V113</f>
        <v>4452142</v>
      </c>
      <c r="F113" s="26">
        <f>TRUNC(MIN(MAX(E113,요율기준!$B$6),요율기준!$B$5)*요율기준!$B$4,-1)</f>
        <v>200340</v>
      </c>
      <c r="G113" s="26">
        <f t="shared" si="7"/>
        <v>200340</v>
      </c>
      <c r="H113" s="26">
        <f>TRUNC(E113*요율기준!$B$7,-1)</f>
        <v>157820</v>
      </c>
      <c r="I113" s="26">
        <f t="shared" si="8"/>
        <v>157820</v>
      </c>
      <c r="J113" s="26">
        <f>TRUNC(H113*요율기준!$B$8,-1)</f>
        <v>20430</v>
      </c>
      <c r="K113" s="26">
        <f t="shared" si="9"/>
        <v>20430</v>
      </c>
      <c r="L113" s="26">
        <f>TRUNC(E113*요율기준!$B$9,-1)</f>
        <v>40060</v>
      </c>
      <c r="M113" s="26">
        <f>TRUNC(E113*요율기준!$B$10,-1)</f>
        <v>51190</v>
      </c>
      <c r="N113" s="26">
        <f>TRUNC(E113*요율기준!$B$11,-1)</f>
        <v>65440</v>
      </c>
      <c r="O113" s="28">
        <f t="shared" si="10"/>
        <v>418650</v>
      </c>
      <c r="P113" s="28">
        <f t="shared" si="11"/>
        <v>495220</v>
      </c>
      <c r="Q113" s="28">
        <f t="shared" si="12"/>
        <v>913870</v>
      </c>
    </row>
    <row r="114" spans="1:17" x14ac:dyDescent="0.4">
      <c r="A114" s="30">
        <f>급여대장!A114</f>
        <v>46054</v>
      </c>
      <c r="B114" s="17">
        <v>10</v>
      </c>
      <c r="C114" s="25" t="str">
        <f>급여대장!D114</f>
        <v>차분해</v>
      </c>
      <c r="D114" s="24" t="str">
        <f>급여대장!E114</f>
        <v>SAP팀</v>
      </c>
      <c r="E114" s="29">
        <f>급여대장!V114</f>
        <v>4502380</v>
      </c>
      <c r="F114" s="26">
        <f>TRUNC(MIN(MAX(E114,요율기준!$B$6),요율기준!$B$5)*요율기준!$B$4,-1)</f>
        <v>202600</v>
      </c>
      <c r="G114" s="26">
        <f t="shared" si="7"/>
        <v>202600</v>
      </c>
      <c r="H114" s="26">
        <f>TRUNC(E114*요율기준!$B$7,-1)</f>
        <v>159600</v>
      </c>
      <c r="I114" s="26">
        <f t="shared" si="8"/>
        <v>159600</v>
      </c>
      <c r="J114" s="26">
        <f>TRUNC(H114*요율기준!$B$8,-1)</f>
        <v>20660</v>
      </c>
      <c r="K114" s="26">
        <f t="shared" si="9"/>
        <v>20660</v>
      </c>
      <c r="L114" s="26">
        <f>TRUNC(E114*요율기준!$B$9,-1)</f>
        <v>40520</v>
      </c>
      <c r="M114" s="26">
        <f>TRUNC(E114*요율기준!$B$10,-1)</f>
        <v>51770</v>
      </c>
      <c r="N114" s="26">
        <f>TRUNC(E114*요율기준!$B$11,-1)</f>
        <v>66180</v>
      </c>
      <c r="O114" s="28">
        <f t="shared" si="10"/>
        <v>423380</v>
      </c>
      <c r="P114" s="28">
        <f t="shared" si="11"/>
        <v>500810</v>
      </c>
      <c r="Q114" s="28">
        <f t="shared" si="12"/>
        <v>924190</v>
      </c>
    </row>
    <row r="115" spans="1:17" x14ac:dyDescent="0.4">
      <c r="A115" s="30">
        <f>급여대장!A115</f>
        <v>46082</v>
      </c>
      <c r="B115" s="17">
        <v>10</v>
      </c>
      <c r="C115" s="25" t="str">
        <f>급여대장!D115</f>
        <v>차분해</v>
      </c>
      <c r="D115" s="24" t="str">
        <f>급여대장!E115</f>
        <v>SAP팀</v>
      </c>
      <c r="E115" s="29">
        <f>급여대장!V115</f>
        <v>4653094</v>
      </c>
      <c r="F115" s="26">
        <f>TRUNC(MIN(MAX(E115,요율기준!$B$6),요율기준!$B$5)*요율기준!$B$4,-1)</f>
        <v>209380</v>
      </c>
      <c r="G115" s="26">
        <f t="shared" si="7"/>
        <v>209380</v>
      </c>
      <c r="H115" s="26">
        <f>TRUNC(E115*요율기준!$B$7,-1)</f>
        <v>164950</v>
      </c>
      <c r="I115" s="26">
        <f t="shared" si="8"/>
        <v>164950</v>
      </c>
      <c r="J115" s="26">
        <f>TRUNC(H115*요율기준!$B$8,-1)</f>
        <v>21360</v>
      </c>
      <c r="K115" s="26">
        <f t="shared" si="9"/>
        <v>21360</v>
      </c>
      <c r="L115" s="26">
        <f>TRUNC(E115*요율기준!$B$9,-1)</f>
        <v>41870</v>
      </c>
      <c r="M115" s="26">
        <f>TRUNC(E115*요율기준!$B$10,-1)</f>
        <v>53510</v>
      </c>
      <c r="N115" s="26">
        <f>TRUNC(E115*요율기준!$B$11,-1)</f>
        <v>68400</v>
      </c>
      <c r="O115" s="28">
        <f t="shared" si="10"/>
        <v>437560</v>
      </c>
      <c r="P115" s="28">
        <f t="shared" si="11"/>
        <v>517600</v>
      </c>
      <c r="Q115" s="28">
        <f t="shared" si="12"/>
        <v>955160</v>
      </c>
    </row>
    <row r="116" spans="1:17" x14ac:dyDescent="0.4">
      <c r="A116" s="30">
        <f>급여대장!A116</f>
        <v>46113</v>
      </c>
      <c r="B116" s="17">
        <v>10</v>
      </c>
      <c r="C116" s="25" t="str">
        <f>급여대장!D116</f>
        <v>차분해</v>
      </c>
      <c r="D116" s="24" t="str">
        <f>급여대장!E116</f>
        <v>SAP팀</v>
      </c>
      <c r="E116" s="29">
        <f>급여대장!V116</f>
        <v>4803808</v>
      </c>
      <c r="F116" s="26">
        <f>TRUNC(MIN(MAX(E116,요율기준!$B$6),요율기준!$B$5)*요율기준!$B$4,-1)</f>
        <v>216170</v>
      </c>
      <c r="G116" s="26">
        <f t="shared" si="7"/>
        <v>216170</v>
      </c>
      <c r="H116" s="26">
        <f>TRUNC(E116*요율기준!$B$7,-1)</f>
        <v>170290</v>
      </c>
      <c r="I116" s="26">
        <f t="shared" si="8"/>
        <v>170290</v>
      </c>
      <c r="J116" s="26">
        <f>TRUNC(H116*요율기준!$B$8,-1)</f>
        <v>22050</v>
      </c>
      <c r="K116" s="26">
        <f t="shared" si="9"/>
        <v>22050</v>
      </c>
      <c r="L116" s="26">
        <f>TRUNC(E116*요율기준!$B$9,-1)</f>
        <v>43230</v>
      </c>
      <c r="M116" s="26">
        <f>TRUNC(E116*요율기준!$B$10,-1)</f>
        <v>55240</v>
      </c>
      <c r="N116" s="26">
        <f>TRUNC(E116*요율기준!$B$11,-1)</f>
        <v>70610</v>
      </c>
      <c r="O116" s="28">
        <f t="shared" si="10"/>
        <v>451740</v>
      </c>
      <c r="P116" s="28">
        <f t="shared" si="11"/>
        <v>534360</v>
      </c>
      <c r="Q116" s="28">
        <f t="shared" si="12"/>
        <v>986100</v>
      </c>
    </row>
    <row r="117" spans="1:17" x14ac:dyDescent="0.4">
      <c r="A117" s="30">
        <f>급여대장!A117</f>
        <v>46143</v>
      </c>
      <c r="B117" s="17">
        <v>10</v>
      </c>
      <c r="C117" s="25" t="str">
        <f>급여대장!D117</f>
        <v>차분해</v>
      </c>
      <c r="D117" s="24" t="str">
        <f>급여대장!E117</f>
        <v>SAP팀</v>
      </c>
      <c r="E117" s="29">
        <f>급여대장!V117</f>
        <v>4326547</v>
      </c>
      <c r="F117" s="26">
        <f>TRUNC(MIN(MAX(E117,요율기준!$B$6),요율기준!$B$5)*요율기준!$B$4,-1)</f>
        <v>194690</v>
      </c>
      <c r="G117" s="26">
        <f t="shared" si="7"/>
        <v>194690</v>
      </c>
      <c r="H117" s="26">
        <f>TRUNC(E117*요율기준!$B$7,-1)</f>
        <v>153370</v>
      </c>
      <c r="I117" s="26">
        <f t="shared" si="8"/>
        <v>153370</v>
      </c>
      <c r="J117" s="26">
        <f>TRUNC(H117*요율기준!$B$8,-1)</f>
        <v>19860</v>
      </c>
      <c r="K117" s="26">
        <f t="shared" si="9"/>
        <v>19860</v>
      </c>
      <c r="L117" s="26">
        <f>TRUNC(E117*요율기준!$B$9,-1)</f>
        <v>38930</v>
      </c>
      <c r="M117" s="26">
        <f>TRUNC(E117*요율기준!$B$10,-1)</f>
        <v>49750</v>
      </c>
      <c r="N117" s="26">
        <f>TRUNC(E117*요율기준!$B$11,-1)</f>
        <v>63600</v>
      </c>
      <c r="O117" s="28">
        <f t="shared" si="10"/>
        <v>406850</v>
      </c>
      <c r="P117" s="28">
        <f t="shared" si="11"/>
        <v>481270</v>
      </c>
      <c r="Q117" s="28">
        <f t="shared" si="12"/>
        <v>888120</v>
      </c>
    </row>
    <row r="118" spans="1:17" x14ac:dyDescent="0.4">
      <c r="A118" s="30">
        <f>급여대장!A118</f>
        <v>46174</v>
      </c>
      <c r="B118" s="17">
        <v>10</v>
      </c>
      <c r="C118" s="25" t="str">
        <f>급여대장!D118</f>
        <v>차분해</v>
      </c>
      <c r="D118" s="24" t="str">
        <f>급여대장!E118</f>
        <v>SAP팀</v>
      </c>
      <c r="E118" s="29">
        <f>급여대장!V118</f>
        <v>4376785</v>
      </c>
      <c r="F118" s="26">
        <f>TRUNC(MIN(MAX(E118,요율기준!$B$6),요율기준!$B$5)*요율기준!$B$4,-1)</f>
        <v>196950</v>
      </c>
      <c r="G118" s="26">
        <f t="shared" si="7"/>
        <v>196950</v>
      </c>
      <c r="H118" s="26">
        <f>TRUNC(E118*요율기준!$B$7,-1)</f>
        <v>155150</v>
      </c>
      <c r="I118" s="26">
        <f t="shared" si="8"/>
        <v>155150</v>
      </c>
      <c r="J118" s="26">
        <f>TRUNC(H118*요율기준!$B$8,-1)</f>
        <v>20090</v>
      </c>
      <c r="K118" s="26">
        <f t="shared" si="9"/>
        <v>20090</v>
      </c>
      <c r="L118" s="26">
        <f>TRUNC(E118*요율기준!$B$9,-1)</f>
        <v>39390</v>
      </c>
      <c r="M118" s="26">
        <f>TRUNC(E118*요율기준!$B$10,-1)</f>
        <v>50330</v>
      </c>
      <c r="N118" s="26">
        <f>TRUNC(E118*요율기준!$B$11,-1)</f>
        <v>64330</v>
      </c>
      <c r="O118" s="28">
        <f t="shared" si="10"/>
        <v>411580</v>
      </c>
      <c r="P118" s="28">
        <f t="shared" si="11"/>
        <v>486850</v>
      </c>
      <c r="Q118" s="28">
        <f t="shared" si="12"/>
        <v>898430</v>
      </c>
    </row>
    <row r="119" spans="1:17" x14ac:dyDescent="0.4">
      <c r="A119" s="30">
        <f>급여대장!A119</f>
        <v>46204</v>
      </c>
      <c r="B119" s="17">
        <v>10</v>
      </c>
      <c r="C119" s="25" t="str">
        <f>급여대장!D119</f>
        <v>차분해</v>
      </c>
      <c r="D119" s="24" t="str">
        <f>급여대장!E119</f>
        <v>SAP팀</v>
      </c>
      <c r="E119" s="29">
        <f>급여대장!V119</f>
        <v>4527499</v>
      </c>
      <c r="F119" s="26">
        <f>TRUNC(MIN(MAX(E119,요율기준!$B$6),요율기준!$B$5)*요율기준!$B$4,-1)</f>
        <v>203730</v>
      </c>
      <c r="G119" s="26">
        <f t="shared" si="7"/>
        <v>203730</v>
      </c>
      <c r="H119" s="26">
        <f>TRUNC(E119*요율기준!$B$7,-1)</f>
        <v>160490</v>
      </c>
      <c r="I119" s="26">
        <f t="shared" si="8"/>
        <v>160490</v>
      </c>
      <c r="J119" s="26">
        <f>TRUNC(H119*요율기준!$B$8,-1)</f>
        <v>20780</v>
      </c>
      <c r="K119" s="26">
        <f t="shared" si="9"/>
        <v>20780</v>
      </c>
      <c r="L119" s="26">
        <f>TRUNC(E119*요율기준!$B$9,-1)</f>
        <v>40740</v>
      </c>
      <c r="M119" s="26">
        <f>TRUNC(E119*요율기준!$B$10,-1)</f>
        <v>52060</v>
      </c>
      <c r="N119" s="26">
        <f>TRUNC(E119*요율기준!$B$11,-1)</f>
        <v>66550</v>
      </c>
      <c r="O119" s="28">
        <f t="shared" si="10"/>
        <v>425740</v>
      </c>
      <c r="P119" s="28">
        <f t="shared" si="11"/>
        <v>503610</v>
      </c>
      <c r="Q119" s="28">
        <f t="shared" si="12"/>
        <v>929350</v>
      </c>
    </row>
    <row r="120" spans="1:17" x14ac:dyDescent="0.4">
      <c r="A120" s="30">
        <f>급여대장!A120</f>
        <v>46235</v>
      </c>
      <c r="B120" s="17">
        <v>10</v>
      </c>
      <c r="C120" s="25" t="str">
        <f>급여대장!D120</f>
        <v>차분해</v>
      </c>
      <c r="D120" s="24" t="str">
        <f>급여대장!E120</f>
        <v>SAP팀</v>
      </c>
      <c r="E120" s="29">
        <f>급여대장!V120</f>
        <v>4678213</v>
      </c>
      <c r="F120" s="26">
        <f>TRUNC(MIN(MAX(E120,요율기준!$B$6),요율기준!$B$5)*요율기준!$B$4,-1)</f>
        <v>210510</v>
      </c>
      <c r="G120" s="26">
        <f t="shared" si="7"/>
        <v>210510</v>
      </c>
      <c r="H120" s="26">
        <f>TRUNC(E120*요율기준!$B$7,-1)</f>
        <v>165840</v>
      </c>
      <c r="I120" s="26">
        <f t="shared" si="8"/>
        <v>165840</v>
      </c>
      <c r="J120" s="26">
        <f>TRUNC(H120*요율기준!$B$8,-1)</f>
        <v>21470</v>
      </c>
      <c r="K120" s="26">
        <f t="shared" si="9"/>
        <v>21470</v>
      </c>
      <c r="L120" s="26">
        <f>TRUNC(E120*요율기준!$B$9,-1)</f>
        <v>42100</v>
      </c>
      <c r="M120" s="26">
        <f>TRUNC(E120*요율기준!$B$10,-1)</f>
        <v>53790</v>
      </c>
      <c r="N120" s="26">
        <f>TRUNC(E120*요율기준!$B$11,-1)</f>
        <v>68760</v>
      </c>
      <c r="O120" s="28">
        <f t="shared" si="10"/>
        <v>439920</v>
      </c>
      <c r="P120" s="28">
        <f t="shared" si="11"/>
        <v>520370</v>
      </c>
      <c r="Q120" s="28">
        <f t="shared" si="12"/>
        <v>960290</v>
      </c>
    </row>
    <row r="121" spans="1:17" x14ac:dyDescent="0.4">
      <c r="A121" s="30">
        <f>급여대장!A121</f>
        <v>46266</v>
      </c>
      <c r="B121" s="17">
        <v>10</v>
      </c>
      <c r="C121" s="25" t="str">
        <f>급여대장!D121</f>
        <v>차분해</v>
      </c>
      <c r="D121" s="24" t="str">
        <f>급여대장!E121</f>
        <v>SAP팀</v>
      </c>
      <c r="E121" s="29">
        <f>급여대장!V121</f>
        <v>4828927</v>
      </c>
      <c r="F121" s="26">
        <f>TRUNC(MIN(MAX(E121,요율기준!$B$6),요율기준!$B$5)*요율기준!$B$4,-1)</f>
        <v>217300</v>
      </c>
      <c r="G121" s="26">
        <f t="shared" si="7"/>
        <v>217300</v>
      </c>
      <c r="H121" s="26">
        <f>TRUNC(E121*요율기준!$B$7,-1)</f>
        <v>171180</v>
      </c>
      <c r="I121" s="26">
        <f t="shared" si="8"/>
        <v>171180</v>
      </c>
      <c r="J121" s="26">
        <f>TRUNC(H121*요율기준!$B$8,-1)</f>
        <v>22160</v>
      </c>
      <c r="K121" s="26">
        <f t="shared" si="9"/>
        <v>22160</v>
      </c>
      <c r="L121" s="26">
        <f>TRUNC(E121*요율기준!$B$9,-1)</f>
        <v>43460</v>
      </c>
      <c r="M121" s="26">
        <f>TRUNC(E121*요율기준!$B$10,-1)</f>
        <v>55530</v>
      </c>
      <c r="N121" s="26">
        <f>TRUNC(E121*요율기준!$B$11,-1)</f>
        <v>70980</v>
      </c>
      <c r="O121" s="28">
        <f t="shared" si="10"/>
        <v>454100</v>
      </c>
      <c r="P121" s="28">
        <f t="shared" si="11"/>
        <v>537150</v>
      </c>
      <c r="Q121" s="28">
        <f t="shared" si="12"/>
        <v>991250</v>
      </c>
    </row>
    <row r="122" spans="1:17" x14ac:dyDescent="0.4">
      <c r="A122" s="30">
        <f>급여대장!A122</f>
        <v>46296</v>
      </c>
      <c r="B122" s="17">
        <v>10</v>
      </c>
      <c r="C122" s="25" t="str">
        <f>급여대장!D122</f>
        <v>차분해</v>
      </c>
      <c r="D122" s="24" t="str">
        <f>급여대장!E122</f>
        <v>SAP팀</v>
      </c>
      <c r="E122" s="29">
        <f>급여대장!V122</f>
        <v>4251190</v>
      </c>
      <c r="F122" s="26">
        <f>TRUNC(MIN(MAX(E122,요율기준!$B$6),요율기준!$B$5)*요율기준!$B$4,-1)</f>
        <v>191300</v>
      </c>
      <c r="G122" s="26">
        <f t="shared" si="7"/>
        <v>191300</v>
      </c>
      <c r="H122" s="26">
        <f>TRUNC(E122*요율기준!$B$7,-1)</f>
        <v>150700</v>
      </c>
      <c r="I122" s="26">
        <f t="shared" si="8"/>
        <v>150700</v>
      </c>
      <c r="J122" s="26">
        <f>TRUNC(H122*요율기준!$B$8,-1)</f>
        <v>19510</v>
      </c>
      <c r="K122" s="26">
        <f t="shared" si="9"/>
        <v>19510</v>
      </c>
      <c r="L122" s="26">
        <f>TRUNC(E122*요율기준!$B$9,-1)</f>
        <v>38260</v>
      </c>
      <c r="M122" s="26">
        <f>TRUNC(E122*요율기준!$B$10,-1)</f>
        <v>48880</v>
      </c>
      <c r="N122" s="26">
        <f>TRUNC(E122*요율기준!$B$11,-1)</f>
        <v>62490</v>
      </c>
      <c r="O122" s="28">
        <f t="shared" si="10"/>
        <v>399770</v>
      </c>
      <c r="P122" s="28">
        <f t="shared" si="11"/>
        <v>472880</v>
      </c>
      <c r="Q122" s="28">
        <f t="shared" si="12"/>
        <v>872650</v>
      </c>
    </row>
    <row r="123" spans="1:17" x14ac:dyDescent="0.4">
      <c r="A123" s="30">
        <f>급여대장!A123</f>
        <v>46327</v>
      </c>
      <c r="B123" s="17">
        <v>10</v>
      </c>
      <c r="C123" s="25" t="str">
        <f>급여대장!D123</f>
        <v>차분해</v>
      </c>
      <c r="D123" s="24" t="str">
        <f>급여대장!E123</f>
        <v>SAP팀</v>
      </c>
      <c r="E123" s="29">
        <f>급여대장!V123</f>
        <v>4401904</v>
      </c>
      <c r="F123" s="26">
        <f>TRUNC(MIN(MAX(E123,요율기준!$B$6),요율기준!$B$5)*요율기준!$B$4,-1)</f>
        <v>198080</v>
      </c>
      <c r="G123" s="26">
        <f t="shared" si="7"/>
        <v>198080</v>
      </c>
      <c r="H123" s="26">
        <f>TRUNC(E123*요율기준!$B$7,-1)</f>
        <v>156040</v>
      </c>
      <c r="I123" s="26">
        <f t="shared" si="8"/>
        <v>156040</v>
      </c>
      <c r="J123" s="26">
        <f>TRUNC(H123*요율기준!$B$8,-1)</f>
        <v>20200</v>
      </c>
      <c r="K123" s="26">
        <f t="shared" si="9"/>
        <v>20200</v>
      </c>
      <c r="L123" s="26">
        <f>TRUNC(E123*요율기준!$B$9,-1)</f>
        <v>39610</v>
      </c>
      <c r="M123" s="26">
        <f>TRUNC(E123*요율기준!$B$10,-1)</f>
        <v>50620</v>
      </c>
      <c r="N123" s="26">
        <f>TRUNC(E123*요율기준!$B$11,-1)</f>
        <v>64700</v>
      </c>
      <c r="O123" s="28">
        <f t="shared" si="10"/>
        <v>413930</v>
      </c>
      <c r="P123" s="28">
        <f t="shared" si="11"/>
        <v>489640</v>
      </c>
      <c r="Q123" s="28">
        <f t="shared" si="12"/>
        <v>903570</v>
      </c>
    </row>
    <row r="124" spans="1:17" x14ac:dyDescent="0.4">
      <c r="A124" s="30">
        <f>급여대장!A124</f>
        <v>46357</v>
      </c>
      <c r="B124" s="17">
        <v>10</v>
      </c>
      <c r="C124" s="25" t="str">
        <f>급여대장!D124</f>
        <v>차분해</v>
      </c>
      <c r="D124" s="24" t="str">
        <f>급여대장!E124</f>
        <v>SAP팀</v>
      </c>
      <c r="E124" s="29">
        <f>급여대장!V124</f>
        <v>4552618</v>
      </c>
      <c r="F124" s="26">
        <f>TRUNC(MIN(MAX(E124,요율기준!$B$6),요율기준!$B$5)*요율기준!$B$4,-1)</f>
        <v>204860</v>
      </c>
      <c r="G124" s="26">
        <f t="shared" si="7"/>
        <v>204860</v>
      </c>
      <c r="H124" s="26">
        <f>TRUNC(E124*요율기준!$B$7,-1)</f>
        <v>161390</v>
      </c>
      <c r="I124" s="26">
        <f t="shared" si="8"/>
        <v>161390</v>
      </c>
      <c r="J124" s="26">
        <f>TRUNC(H124*요율기준!$B$8,-1)</f>
        <v>20900</v>
      </c>
      <c r="K124" s="26">
        <f t="shared" si="9"/>
        <v>20900</v>
      </c>
      <c r="L124" s="26">
        <f>TRUNC(E124*요율기준!$B$9,-1)</f>
        <v>40970</v>
      </c>
      <c r="M124" s="26">
        <f>TRUNC(E124*요율기준!$B$10,-1)</f>
        <v>52350</v>
      </c>
      <c r="N124" s="26">
        <f>TRUNC(E124*요율기준!$B$11,-1)</f>
        <v>66920</v>
      </c>
      <c r="O124" s="28">
        <f t="shared" si="10"/>
        <v>428120</v>
      </c>
      <c r="P124" s="28">
        <f t="shared" si="11"/>
        <v>506420</v>
      </c>
      <c r="Q124" s="28">
        <f t="shared" si="12"/>
        <v>934540</v>
      </c>
    </row>
    <row r="125" spans="1:17" x14ac:dyDescent="0.4">
      <c r="A125" s="30">
        <f>급여대장!A125</f>
        <v>46023</v>
      </c>
      <c r="B125" s="17">
        <v>11</v>
      </c>
      <c r="C125" s="25" t="str">
        <f>급여대장!D125</f>
        <v>카랑찬</v>
      </c>
      <c r="D125" s="24" t="str">
        <f>급여대장!E125</f>
        <v>C&amp;S 1팀</v>
      </c>
      <c r="E125" s="29">
        <f>급여대장!V125</f>
        <v>3992073</v>
      </c>
      <c r="F125" s="26">
        <f>TRUNC(MIN(MAX(E125,요율기준!$B$6),요율기준!$B$5)*요율기준!$B$4,-1)</f>
        <v>179640</v>
      </c>
      <c r="G125" s="26">
        <f t="shared" si="7"/>
        <v>179640</v>
      </c>
      <c r="H125" s="26">
        <f>TRUNC(E125*요율기준!$B$7,-1)</f>
        <v>141510</v>
      </c>
      <c r="I125" s="26">
        <f t="shared" si="8"/>
        <v>141510</v>
      </c>
      <c r="J125" s="26">
        <f>TRUNC(H125*요율기준!$B$8,-1)</f>
        <v>18320</v>
      </c>
      <c r="K125" s="26">
        <f t="shared" si="9"/>
        <v>18320</v>
      </c>
      <c r="L125" s="26">
        <f>TRUNC(E125*요율기준!$B$9,-1)</f>
        <v>35920</v>
      </c>
      <c r="M125" s="26">
        <f>TRUNC(E125*요율기준!$B$10,-1)</f>
        <v>45900</v>
      </c>
      <c r="N125" s="26">
        <f>TRUNC(E125*요율기준!$B$11,-1)</f>
        <v>58680</v>
      </c>
      <c r="O125" s="28">
        <f t="shared" si="10"/>
        <v>375390</v>
      </c>
      <c r="P125" s="28">
        <f t="shared" si="11"/>
        <v>444050</v>
      </c>
      <c r="Q125" s="28">
        <f t="shared" si="12"/>
        <v>819440</v>
      </c>
    </row>
    <row r="126" spans="1:17" x14ac:dyDescent="0.4">
      <c r="A126" s="30">
        <f>급여대장!A126</f>
        <v>46054</v>
      </c>
      <c r="B126" s="17">
        <v>11</v>
      </c>
      <c r="C126" s="25" t="str">
        <f>급여대장!D126</f>
        <v>카랑찬</v>
      </c>
      <c r="D126" s="24" t="str">
        <f>급여대장!E126</f>
        <v>C&amp;S 1팀</v>
      </c>
      <c r="E126" s="29">
        <f>급여대장!V126</f>
        <v>4036572</v>
      </c>
      <c r="F126" s="26">
        <f>TRUNC(MIN(MAX(E126,요율기준!$B$6),요율기준!$B$5)*요율기준!$B$4,-1)</f>
        <v>181640</v>
      </c>
      <c r="G126" s="26">
        <f t="shared" si="7"/>
        <v>181640</v>
      </c>
      <c r="H126" s="26">
        <f>TRUNC(E126*요율기준!$B$7,-1)</f>
        <v>143090</v>
      </c>
      <c r="I126" s="26">
        <f t="shared" si="8"/>
        <v>143090</v>
      </c>
      <c r="J126" s="26">
        <f>TRUNC(H126*요율기준!$B$8,-1)</f>
        <v>18530</v>
      </c>
      <c r="K126" s="26">
        <f t="shared" si="9"/>
        <v>18530</v>
      </c>
      <c r="L126" s="26">
        <f>TRUNC(E126*요율기준!$B$9,-1)</f>
        <v>36320</v>
      </c>
      <c r="M126" s="26">
        <f>TRUNC(E126*요율기준!$B$10,-1)</f>
        <v>46420</v>
      </c>
      <c r="N126" s="26">
        <f>TRUNC(E126*요율기준!$B$11,-1)</f>
        <v>59330</v>
      </c>
      <c r="O126" s="28">
        <f t="shared" si="10"/>
        <v>379580</v>
      </c>
      <c r="P126" s="28">
        <f t="shared" si="11"/>
        <v>449010</v>
      </c>
      <c r="Q126" s="28">
        <f t="shared" si="12"/>
        <v>828590</v>
      </c>
    </row>
    <row r="127" spans="1:17" x14ac:dyDescent="0.4">
      <c r="A127" s="30">
        <f>급여대장!A127</f>
        <v>46082</v>
      </c>
      <c r="B127" s="17">
        <v>11</v>
      </c>
      <c r="C127" s="25" t="str">
        <f>급여대장!D127</f>
        <v>카랑찬</v>
      </c>
      <c r="D127" s="24" t="str">
        <f>급여대장!E127</f>
        <v>C&amp;S 1팀</v>
      </c>
      <c r="E127" s="29">
        <f>급여대장!V127</f>
        <v>4170069</v>
      </c>
      <c r="F127" s="26">
        <f>TRUNC(MIN(MAX(E127,요율기준!$B$6),요율기준!$B$5)*요율기준!$B$4,-1)</f>
        <v>187650</v>
      </c>
      <c r="G127" s="26">
        <f t="shared" si="7"/>
        <v>187650</v>
      </c>
      <c r="H127" s="26">
        <f>TRUNC(E127*요율기준!$B$7,-1)</f>
        <v>147820</v>
      </c>
      <c r="I127" s="26">
        <f t="shared" si="8"/>
        <v>147820</v>
      </c>
      <c r="J127" s="26">
        <f>TRUNC(H127*요율기준!$B$8,-1)</f>
        <v>19140</v>
      </c>
      <c r="K127" s="26">
        <f t="shared" si="9"/>
        <v>19140</v>
      </c>
      <c r="L127" s="26">
        <f>TRUNC(E127*요율기준!$B$9,-1)</f>
        <v>37530</v>
      </c>
      <c r="M127" s="26">
        <f>TRUNC(E127*요율기준!$B$10,-1)</f>
        <v>47950</v>
      </c>
      <c r="N127" s="26">
        <f>TRUNC(E127*요율기준!$B$11,-1)</f>
        <v>61300</v>
      </c>
      <c r="O127" s="28">
        <f t="shared" si="10"/>
        <v>392140</v>
      </c>
      <c r="P127" s="28">
        <f t="shared" si="11"/>
        <v>463860</v>
      </c>
      <c r="Q127" s="28">
        <f t="shared" si="12"/>
        <v>856000</v>
      </c>
    </row>
    <row r="128" spans="1:17" x14ac:dyDescent="0.4">
      <c r="A128" s="30">
        <f>급여대장!A128</f>
        <v>46113</v>
      </c>
      <c r="B128" s="17">
        <v>11</v>
      </c>
      <c r="C128" s="25" t="str">
        <f>급여대장!D128</f>
        <v>카랑찬</v>
      </c>
      <c r="D128" s="24" t="str">
        <f>급여대장!E128</f>
        <v>C&amp;S 1팀</v>
      </c>
      <c r="E128" s="29">
        <f>급여대장!V128</f>
        <v>3747328</v>
      </c>
      <c r="F128" s="26">
        <f>TRUNC(MIN(MAX(E128,요율기준!$B$6),요율기준!$B$5)*요율기준!$B$4,-1)</f>
        <v>168620</v>
      </c>
      <c r="G128" s="26">
        <f t="shared" si="7"/>
        <v>168620</v>
      </c>
      <c r="H128" s="26">
        <f>TRUNC(E128*요율기준!$B$7,-1)</f>
        <v>132840</v>
      </c>
      <c r="I128" s="26">
        <f t="shared" si="8"/>
        <v>132840</v>
      </c>
      <c r="J128" s="26">
        <f>TRUNC(H128*요율기준!$B$8,-1)</f>
        <v>17200</v>
      </c>
      <c r="K128" s="26">
        <f t="shared" si="9"/>
        <v>17200</v>
      </c>
      <c r="L128" s="26">
        <f>TRUNC(E128*요율기준!$B$9,-1)</f>
        <v>33720</v>
      </c>
      <c r="M128" s="26">
        <f>TRUNC(E128*요율기준!$B$10,-1)</f>
        <v>43090</v>
      </c>
      <c r="N128" s="26">
        <f>TRUNC(E128*요율기준!$B$11,-1)</f>
        <v>55080</v>
      </c>
      <c r="O128" s="28">
        <f t="shared" si="10"/>
        <v>352380</v>
      </c>
      <c r="P128" s="28">
        <f t="shared" si="11"/>
        <v>416830</v>
      </c>
      <c r="Q128" s="28">
        <f t="shared" si="12"/>
        <v>769210</v>
      </c>
    </row>
    <row r="129" spans="1:17" x14ac:dyDescent="0.4">
      <c r="A129" s="30">
        <f>급여대장!A129</f>
        <v>46143</v>
      </c>
      <c r="B129" s="17">
        <v>11</v>
      </c>
      <c r="C129" s="25" t="str">
        <f>급여대장!D129</f>
        <v>카랑찬</v>
      </c>
      <c r="D129" s="24" t="str">
        <f>급여대장!E129</f>
        <v>C&amp;S 1팀</v>
      </c>
      <c r="E129" s="29">
        <f>급여대장!V129</f>
        <v>3880826</v>
      </c>
      <c r="F129" s="26">
        <f>TRUNC(MIN(MAX(E129,요율기준!$B$6),요율기준!$B$5)*요율기준!$B$4,-1)</f>
        <v>174630</v>
      </c>
      <c r="G129" s="26">
        <f t="shared" si="7"/>
        <v>174630</v>
      </c>
      <c r="H129" s="26">
        <f>TRUNC(E129*요율기준!$B$7,-1)</f>
        <v>137570</v>
      </c>
      <c r="I129" s="26">
        <f t="shared" si="8"/>
        <v>137570</v>
      </c>
      <c r="J129" s="26">
        <f>TRUNC(H129*요율기준!$B$8,-1)</f>
        <v>17810</v>
      </c>
      <c r="K129" s="26">
        <f t="shared" si="9"/>
        <v>17810</v>
      </c>
      <c r="L129" s="26">
        <f>TRUNC(E129*요율기준!$B$9,-1)</f>
        <v>34920</v>
      </c>
      <c r="M129" s="26">
        <f>TRUNC(E129*요율기준!$B$10,-1)</f>
        <v>44620</v>
      </c>
      <c r="N129" s="26">
        <f>TRUNC(E129*요율기준!$B$11,-1)</f>
        <v>57040</v>
      </c>
      <c r="O129" s="28">
        <f t="shared" si="10"/>
        <v>364930</v>
      </c>
      <c r="P129" s="28">
        <f t="shared" si="11"/>
        <v>431670</v>
      </c>
      <c r="Q129" s="28">
        <f t="shared" si="12"/>
        <v>796600</v>
      </c>
    </row>
    <row r="130" spans="1:17" x14ac:dyDescent="0.4">
      <c r="A130" s="30">
        <f>급여대장!A130</f>
        <v>46174</v>
      </c>
      <c r="B130" s="17">
        <v>11</v>
      </c>
      <c r="C130" s="25" t="str">
        <f>급여대장!D130</f>
        <v>카랑찬</v>
      </c>
      <c r="D130" s="24" t="str">
        <f>급여대장!E130</f>
        <v>C&amp;S 1팀</v>
      </c>
      <c r="E130" s="29">
        <f>급여대장!V130</f>
        <v>3925324</v>
      </c>
      <c r="F130" s="26">
        <f>TRUNC(MIN(MAX(E130,요율기준!$B$6),요율기준!$B$5)*요율기준!$B$4,-1)</f>
        <v>176630</v>
      </c>
      <c r="G130" s="26">
        <f t="shared" si="7"/>
        <v>176630</v>
      </c>
      <c r="H130" s="26">
        <f>TRUNC(E130*요율기준!$B$7,-1)</f>
        <v>139150</v>
      </c>
      <c r="I130" s="26">
        <f t="shared" si="8"/>
        <v>139150</v>
      </c>
      <c r="J130" s="26">
        <f>TRUNC(H130*요율기준!$B$8,-1)</f>
        <v>18010</v>
      </c>
      <c r="K130" s="26">
        <f t="shared" si="9"/>
        <v>18010</v>
      </c>
      <c r="L130" s="26">
        <f>TRUNC(E130*요율기준!$B$9,-1)</f>
        <v>35320</v>
      </c>
      <c r="M130" s="26">
        <f>TRUNC(E130*요율기준!$B$10,-1)</f>
        <v>45140</v>
      </c>
      <c r="N130" s="26">
        <f>TRUNC(E130*요율기준!$B$11,-1)</f>
        <v>57700</v>
      </c>
      <c r="O130" s="28">
        <f t="shared" si="10"/>
        <v>369110</v>
      </c>
      <c r="P130" s="28">
        <f t="shared" si="11"/>
        <v>436630</v>
      </c>
      <c r="Q130" s="28">
        <f t="shared" si="12"/>
        <v>805740</v>
      </c>
    </row>
    <row r="131" spans="1:17" x14ac:dyDescent="0.4">
      <c r="A131" s="30">
        <f>급여대장!A131</f>
        <v>46204</v>
      </c>
      <c r="B131" s="17">
        <v>11</v>
      </c>
      <c r="C131" s="25" t="str">
        <f>급여대장!D131</f>
        <v>카랑찬</v>
      </c>
      <c r="D131" s="24" t="str">
        <f>급여대장!E131</f>
        <v>C&amp;S 1팀</v>
      </c>
      <c r="E131" s="29">
        <f>급여대장!V131</f>
        <v>4058822</v>
      </c>
      <c r="F131" s="26">
        <f>TRUNC(MIN(MAX(E131,요율기준!$B$6),요율기준!$B$5)*요율기준!$B$4,-1)</f>
        <v>182640</v>
      </c>
      <c r="G131" s="26">
        <f t="shared" si="7"/>
        <v>182640</v>
      </c>
      <c r="H131" s="26">
        <f>TRUNC(E131*요율기준!$B$7,-1)</f>
        <v>143880</v>
      </c>
      <c r="I131" s="26">
        <f t="shared" si="8"/>
        <v>143880</v>
      </c>
      <c r="J131" s="26">
        <f>TRUNC(H131*요율기준!$B$8,-1)</f>
        <v>18630</v>
      </c>
      <c r="K131" s="26">
        <f t="shared" si="9"/>
        <v>18630</v>
      </c>
      <c r="L131" s="26">
        <f>TRUNC(E131*요율기준!$B$9,-1)</f>
        <v>36520</v>
      </c>
      <c r="M131" s="26">
        <f>TRUNC(E131*요율기준!$B$10,-1)</f>
        <v>46670</v>
      </c>
      <c r="N131" s="26">
        <f>TRUNC(E131*요율기준!$B$11,-1)</f>
        <v>59660</v>
      </c>
      <c r="O131" s="28">
        <f t="shared" si="10"/>
        <v>381670</v>
      </c>
      <c r="P131" s="28">
        <f t="shared" si="11"/>
        <v>451480</v>
      </c>
      <c r="Q131" s="28">
        <f t="shared" si="12"/>
        <v>833150</v>
      </c>
    </row>
    <row r="132" spans="1:17" x14ac:dyDescent="0.4">
      <c r="A132" s="30">
        <f>급여대장!A132</f>
        <v>46235</v>
      </c>
      <c r="B132" s="17">
        <v>11</v>
      </c>
      <c r="C132" s="25" t="str">
        <f>급여대장!D132</f>
        <v>카랑찬</v>
      </c>
      <c r="D132" s="24" t="str">
        <f>급여대장!E132</f>
        <v>C&amp;S 1팀</v>
      </c>
      <c r="E132" s="29">
        <f>급여대장!V132</f>
        <v>4192318</v>
      </c>
      <c r="F132" s="26">
        <f>TRUNC(MIN(MAX(E132,요율기준!$B$6),요율기준!$B$5)*요율기준!$B$4,-1)</f>
        <v>188650</v>
      </c>
      <c r="G132" s="26">
        <f t="shared" si="7"/>
        <v>188650</v>
      </c>
      <c r="H132" s="26">
        <f>TRUNC(E132*요율기준!$B$7,-1)</f>
        <v>148610</v>
      </c>
      <c r="I132" s="26">
        <f t="shared" si="8"/>
        <v>148610</v>
      </c>
      <c r="J132" s="26">
        <f>TRUNC(H132*요율기준!$B$8,-1)</f>
        <v>19240</v>
      </c>
      <c r="K132" s="26">
        <f t="shared" si="9"/>
        <v>19240</v>
      </c>
      <c r="L132" s="26">
        <f>TRUNC(E132*요율기준!$B$9,-1)</f>
        <v>37730</v>
      </c>
      <c r="M132" s="26">
        <f>TRUNC(E132*요율기준!$B$10,-1)</f>
        <v>48210</v>
      </c>
      <c r="N132" s="26">
        <f>TRUNC(E132*요율기준!$B$11,-1)</f>
        <v>61620</v>
      </c>
      <c r="O132" s="28">
        <f t="shared" si="10"/>
        <v>394230</v>
      </c>
      <c r="P132" s="28">
        <f t="shared" si="11"/>
        <v>466330</v>
      </c>
      <c r="Q132" s="28">
        <f t="shared" si="12"/>
        <v>860560</v>
      </c>
    </row>
    <row r="133" spans="1:17" x14ac:dyDescent="0.4">
      <c r="A133" s="30">
        <f>급여대장!A133</f>
        <v>46266</v>
      </c>
      <c r="B133" s="17">
        <v>11</v>
      </c>
      <c r="C133" s="25" t="str">
        <f>급여대장!D133</f>
        <v>카랑찬</v>
      </c>
      <c r="D133" s="24" t="str">
        <f>급여대장!E133</f>
        <v>C&amp;S 1팀</v>
      </c>
      <c r="E133" s="29">
        <f>급여대장!V133</f>
        <v>3769578</v>
      </c>
      <c r="F133" s="26">
        <f>TRUNC(MIN(MAX(E133,요율기준!$B$6),요율기준!$B$5)*요율기준!$B$4,-1)</f>
        <v>169630</v>
      </c>
      <c r="G133" s="26">
        <f t="shared" ref="G133:G196" si="13">F133</f>
        <v>169630</v>
      </c>
      <c r="H133" s="26">
        <f>TRUNC(E133*요율기준!$B$7,-1)</f>
        <v>133630</v>
      </c>
      <c r="I133" s="26">
        <f t="shared" ref="I133:I196" si="14">H133</f>
        <v>133630</v>
      </c>
      <c r="J133" s="26">
        <f>TRUNC(H133*요율기준!$B$8,-1)</f>
        <v>17300</v>
      </c>
      <c r="K133" s="26">
        <f t="shared" ref="K133:K196" si="15">J133</f>
        <v>17300</v>
      </c>
      <c r="L133" s="26">
        <f>TRUNC(E133*요율기준!$B$9,-1)</f>
        <v>33920</v>
      </c>
      <c r="M133" s="26">
        <f>TRUNC(E133*요율기준!$B$10,-1)</f>
        <v>43350</v>
      </c>
      <c r="N133" s="26">
        <f>TRUNC(E133*요율기준!$B$11,-1)</f>
        <v>55410</v>
      </c>
      <c r="O133" s="28">
        <f t="shared" ref="O133:O196" si="16">F133+H133+J133+L133</f>
        <v>354480</v>
      </c>
      <c r="P133" s="28">
        <f t="shared" ref="P133:P196" si="17">G133+I133+K133+M133+N133</f>
        <v>419320</v>
      </c>
      <c r="Q133" s="28">
        <f t="shared" ref="Q133:Q196" si="18">O133+P133</f>
        <v>773800</v>
      </c>
    </row>
    <row r="134" spans="1:17" x14ac:dyDescent="0.4">
      <c r="A134" s="30">
        <f>급여대장!A134</f>
        <v>46296</v>
      </c>
      <c r="B134" s="17">
        <v>11</v>
      </c>
      <c r="C134" s="25" t="str">
        <f>급여대장!D134</f>
        <v>카랑찬</v>
      </c>
      <c r="D134" s="24" t="str">
        <f>급여대장!E134</f>
        <v>C&amp;S 1팀</v>
      </c>
      <c r="E134" s="29">
        <f>급여대장!V134</f>
        <v>3814077</v>
      </c>
      <c r="F134" s="26">
        <f>TRUNC(MIN(MAX(E134,요율기준!$B$6),요율기준!$B$5)*요율기준!$B$4,-1)</f>
        <v>171630</v>
      </c>
      <c r="G134" s="26">
        <f t="shared" si="13"/>
        <v>171630</v>
      </c>
      <c r="H134" s="26">
        <f>TRUNC(E134*요율기준!$B$7,-1)</f>
        <v>135200</v>
      </c>
      <c r="I134" s="26">
        <f t="shared" si="14"/>
        <v>135200</v>
      </c>
      <c r="J134" s="26">
        <f>TRUNC(H134*요율기준!$B$8,-1)</f>
        <v>17500</v>
      </c>
      <c r="K134" s="26">
        <f t="shared" si="15"/>
        <v>17500</v>
      </c>
      <c r="L134" s="26">
        <f>TRUNC(E134*요율기준!$B$9,-1)</f>
        <v>34320</v>
      </c>
      <c r="M134" s="26">
        <f>TRUNC(E134*요율기준!$B$10,-1)</f>
        <v>43860</v>
      </c>
      <c r="N134" s="26">
        <f>TRUNC(E134*요율기준!$B$11,-1)</f>
        <v>56060</v>
      </c>
      <c r="O134" s="28">
        <f t="shared" si="16"/>
        <v>358650</v>
      </c>
      <c r="P134" s="28">
        <f t="shared" si="17"/>
        <v>424250</v>
      </c>
      <c r="Q134" s="28">
        <f t="shared" si="18"/>
        <v>782900</v>
      </c>
    </row>
    <row r="135" spans="1:17" x14ac:dyDescent="0.4">
      <c r="A135" s="30">
        <f>급여대장!A135</f>
        <v>46327</v>
      </c>
      <c r="B135" s="17">
        <v>11</v>
      </c>
      <c r="C135" s="25" t="str">
        <f>급여대장!D135</f>
        <v>카랑찬</v>
      </c>
      <c r="D135" s="24" t="str">
        <f>급여대장!E135</f>
        <v>C&amp;S 1팀</v>
      </c>
      <c r="E135" s="29">
        <f>급여대장!V135</f>
        <v>3947574</v>
      </c>
      <c r="F135" s="26">
        <f>TRUNC(MIN(MAX(E135,요율기준!$B$6),요율기준!$B$5)*요율기준!$B$4,-1)</f>
        <v>177640</v>
      </c>
      <c r="G135" s="26">
        <f t="shared" si="13"/>
        <v>177640</v>
      </c>
      <c r="H135" s="26">
        <f>TRUNC(E135*요율기준!$B$7,-1)</f>
        <v>139940</v>
      </c>
      <c r="I135" s="26">
        <f t="shared" si="14"/>
        <v>139940</v>
      </c>
      <c r="J135" s="26">
        <f>TRUNC(H135*요율기준!$B$8,-1)</f>
        <v>18120</v>
      </c>
      <c r="K135" s="26">
        <f t="shared" si="15"/>
        <v>18120</v>
      </c>
      <c r="L135" s="26">
        <f>TRUNC(E135*요율기준!$B$9,-1)</f>
        <v>35520</v>
      </c>
      <c r="M135" s="26">
        <f>TRUNC(E135*요율기준!$B$10,-1)</f>
        <v>45390</v>
      </c>
      <c r="N135" s="26">
        <f>TRUNC(E135*요율기준!$B$11,-1)</f>
        <v>58020</v>
      </c>
      <c r="O135" s="28">
        <f t="shared" si="16"/>
        <v>371220</v>
      </c>
      <c r="P135" s="28">
        <f t="shared" si="17"/>
        <v>439110</v>
      </c>
      <c r="Q135" s="28">
        <f t="shared" si="18"/>
        <v>810330</v>
      </c>
    </row>
    <row r="136" spans="1:17" x14ac:dyDescent="0.4">
      <c r="A136" s="30">
        <f>급여대장!A136</f>
        <v>46357</v>
      </c>
      <c r="B136" s="17">
        <v>11</v>
      </c>
      <c r="C136" s="25" t="str">
        <f>급여대장!D136</f>
        <v>카랑찬</v>
      </c>
      <c r="D136" s="24" t="str">
        <f>급여대장!E136</f>
        <v>C&amp;S 1팀</v>
      </c>
      <c r="E136" s="29">
        <f>급여대장!V136</f>
        <v>4081071</v>
      </c>
      <c r="F136" s="26">
        <f>TRUNC(MIN(MAX(E136,요율기준!$B$6),요율기준!$B$5)*요율기준!$B$4,-1)</f>
        <v>183640</v>
      </c>
      <c r="G136" s="26">
        <f t="shared" si="13"/>
        <v>183640</v>
      </c>
      <c r="H136" s="26">
        <f>TRUNC(E136*요율기준!$B$7,-1)</f>
        <v>144670</v>
      </c>
      <c r="I136" s="26">
        <f t="shared" si="14"/>
        <v>144670</v>
      </c>
      <c r="J136" s="26">
        <f>TRUNC(H136*요율기준!$B$8,-1)</f>
        <v>18730</v>
      </c>
      <c r="K136" s="26">
        <f t="shared" si="15"/>
        <v>18730</v>
      </c>
      <c r="L136" s="26">
        <f>TRUNC(E136*요율기준!$B$9,-1)</f>
        <v>36720</v>
      </c>
      <c r="M136" s="26">
        <f>TRUNC(E136*요율기준!$B$10,-1)</f>
        <v>46930</v>
      </c>
      <c r="N136" s="26">
        <f>TRUNC(E136*요율기준!$B$11,-1)</f>
        <v>59990</v>
      </c>
      <c r="O136" s="28">
        <f t="shared" si="16"/>
        <v>383760</v>
      </c>
      <c r="P136" s="28">
        <f t="shared" si="17"/>
        <v>453960</v>
      </c>
      <c r="Q136" s="28">
        <f t="shared" si="18"/>
        <v>837720</v>
      </c>
    </row>
    <row r="137" spans="1:17" x14ac:dyDescent="0.4">
      <c r="A137" s="30">
        <f>급여대장!A137</f>
        <v>46023</v>
      </c>
      <c r="B137" s="17">
        <v>12</v>
      </c>
      <c r="C137" s="25" t="str">
        <f>급여대장!D137</f>
        <v>타래솔</v>
      </c>
      <c r="D137" s="24" t="str">
        <f>급여대장!E137</f>
        <v>C&amp;R팀</v>
      </c>
      <c r="E137" s="29">
        <f>급여대장!V137</f>
        <v>3959328</v>
      </c>
      <c r="F137" s="26">
        <f>TRUNC(MIN(MAX(E137,요율기준!$B$6),요율기준!$B$5)*요율기준!$B$4,-1)</f>
        <v>178160</v>
      </c>
      <c r="G137" s="26">
        <f t="shared" si="13"/>
        <v>178160</v>
      </c>
      <c r="H137" s="26">
        <f>TRUNC(E137*요율기준!$B$7,-1)</f>
        <v>140350</v>
      </c>
      <c r="I137" s="26">
        <f t="shared" si="14"/>
        <v>140350</v>
      </c>
      <c r="J137" s="26">
        <f>TRUNC(H137*요율기준!$B$8,-1)</f>
        <v>18170</v>
      </c>
      <c r="K137" s="26">
        <f t="shared" si="15"/>
        <v>18170</v>
      </c>
      <c r="L137" s="26">
        <f>TRUNC(E137*요율기준!$B$9,-1)</f>
        <v>35630</v>
      </c>
      <c r="M137" s="26">
        <f>TRUNC(E137*요율기준!$B$10,-1)</f>
        <v>45530</v>
      </c>
      <c r="N137" s="26">
        <f>TRUNC(E137*요율기준!$B$11,-1)</f>
        <v>58200</v>
      </c>
      <c r="O137" s="28">
        <f t="shared" si="16"/>
        <v>372310</v>
      </c>
      <c r="P137" s="28">
        <f t="shared" si="17"/>
        <v>440410</v>
      </c>
      <c r="Q137" s="28">
        <f t="shared" si="18"/>
        <v>812720</v>
      </c>
    </row>
    <row r="138" spans="1:17" x14ac:dyDescent="0.4">
      <c r="A138" s="30">
        <f>급여대장!A138</f>
        <v>46054</v>
      </c>
      <c r="B138" s="17">
        <v>12</v>
      </c>
      <c r="C138" s="25" t="str">
        <f>급여대장!D138</f>
        <v>타래솔</v>
      </c>
      <c r="D138" s="24" t="str">
        <f>급여대장!E138</f>
        <v>C&amp;R팀</v>
      </c>
      <c r="E138" s="29">
        <f>급여대장!V138</f>
        <v>4088514</v>
      </c>
      <c r="F138" s="26">
        <f>TRUNC(MIN(MAX(E138,요율기준!$B$6),요율기준!$B$5)*요율기준!$B$4,-1)</f>
        <v>183980</v>
      </c>
      <c r="G138" s="26">
        <f t="shared" si="13"/>
        <v>183980</v>
      </c>
      <c r="H138" s="26">
        <f>TRUNC(E138*요율기준!$B$7,-1)</f>
        <v>144930</v>
      </c>
      <c r="I138" s="26">
        <f t="shared" si="14"/>
        <v>144930</v>
      </c>
      <c r="J138" s="26">
        <f>TRUNC(H138*요율기준!$B$8,-1)</f>
        <v>18760</v>
      </c>
      <c r="K138" s="26">
        <f t="shared" si="15"/>
        <v>18760</v>
      </c>
      <c r="L138" s="26">
        <f>TRUNC(E138*요율기준!$B$9,-1)</f>
        <v>36790</v>
      </c>
      <c r="M138" s="26">
        <f>TRUNC(E138*요율기준!$B$10,-1)</f>
        <v>47010</v>
      </c>
      <c r="N138" s="26">
        <f>TRUNC(E138*요율기준!$B$11,-1)</f>
        <v>60100</v>
      </c>
      <c r="O138" s="28">
        <f t="shared" si="16"/>
        <v>384460</v>
      </c>
      <c r="P138" s="28">
        <f t="shared" si="17"/>
        <v>454780</v>
      </c>
      <c r="Q138" s="28">
        <f t="shared" si="18"/>
        <v>839240</v>
      </c>
    </row>
    <row r="139" spans="1:17" x14ac:dyDescent="0.4">
      <c r="A139" s="30">
        <f>급여대장!A139</f>
        <v>46082</v>
      </c>
      <c r="B139" s="17">
        <v>12</v>
      </c>
      <c r="C139" s="25" t="str">
        <f>급여대장!D139</f>
        <v>타래솔</v>
      </c>
      <c r="D139" s="24" t="str">
        <f>급여대장!E139</f>
        <v>C&amp;R팀</v>
      </c>
      <c r="E139" s="29">
        <f>급여대장!V139</f>
        <v>4217700</v>
      </c>
      <c r="F139" s="26">
        <f>TRUNC(MIN(MAX(E139,요율기준!$B$6),요율기준!$B$5)*요율기준!$B$4,-1)</f>
        <v>189790</v>
      </c>
      <c r="G139" s="26">
        <f t="shared" si="13"/>
        <v>189790</v>
      </c>
      <c r="H139" s="26">
        <f>TRUNC(E139*요율기준!$B$7,-1)</f>
        <v>149510</v>
      </c>
      <c r="I139" s="26">
        <f t="shared" si="14"/>
        <v>149510</v>
      </c>
      <c r="J139" s="26">
        <f>TRUNC(H139*요율기준!$B$8,-1)</f>
        <v>19360</v>
      </c>
      <c r="K139" s="26">
        <f t="shared" si="15"/>
        <v>19360</v>
      </c>
      <c r="L139" s="26">
        <f>TRUNC(E139*요율기준!$B$9,-1)</f>
        <v>37950</v>
      </c>
      <c r="M139" s="26">
        <f>TRUNC(E139*요율기준!$B$10,-1)</f>
        <v>48500</v>
      </c>
      <c r="N139" s="26">
        <f>TRUNC(E139*요율기준!$B$11,-1)</f>
        <v>62000</v>
      </c>
      <c r="O139" s="28">
        <f t="shared" si="16"/>
        <v>396610</v>
      </c>
      <c r="P139" s="28">
        <f t="shared" si="17"/>
        <v>469160</v>
      </c>
      <c r="Q139" s="28">
        <f t="shared" si="18"/>
        <v>865770</v>
      </c>
    </row>
    <row r="140" spans="1:17" x14ac:dyDescent="0.4">
      <c r="A140" s="30">
        <f>급여대장!A140</f>
        <v>46113</v>
      </c>
      <c r="B140" s="17">
        <v>12</v>
      </c>
      <c r="C140" s="25" t="str">
        <f>급여대장!D140</f>
        <v>타래솔</v>
      </c>
      <c r="D140" s="24" t="str">
        <f>급여대장!E140</f>
        <v>C&amp;R팀</v>
      </c>
      <c r="E140" s="29">
        <f>급여대장!V140</f>
        <v>3808611</v>
      </c>
      <c r="F140" s="26">
        <f>TRUNC(MIN(MAX(E140,요율기준!$B$6),요율기준!$B$5)*요율기준!$B$4,-1)</f>
        <v>171380</v>
      </c>
      <c r="G140" s="26">
        <f t="shared" si="13"/>
        <v>171380</v>
      </c>
      <c r="H140" s="26">
        <f>TRUNC(E140*요율기준!$B$7,-1)</f>
        <v>135010</v>
      </c>
      <c r="I140" s="26">
        <f t="shared" si="14"/>
        <v>135010</v>
      </c>
      <c r="J140" s="26">
        <f>TRUNC(H140*요율기준!$B$8,-1)</f>
        <v>17480</v>
      </c>
      <c r="K140" s="26">
        <f t="shared" si="15"/>
        <v>17480</v>
      </c>
      <c r="L140" s="26">
        <f>TRUNC(E140*요율기준!$B$9,-1)</f>
        <v>34270</v>
      </c>
      <c r="M140" s="26">
        <f>TRUNC(E140*요율기준!$B$10,-1)</f>
        <v>43790</v>
      </c>
      <c r="N140" s="26">
        <f>TRUNC(E140*요율기준!$B$11,-1)</f>
        <v>55980</v>
      </c>
      <c r="O140" s="28">
        <f t="shared" si="16"/>
        <v>358140</v>
      </c>
      <c r="P140" s="28">
        <f t="shared" si="17"/>
        <v>423640</v>
      </c>
      <c r="Q140" s="28">
        <f t="shared" si="18"/>
        <v>781780</v>
      </c>
    </row>
    <row r="141" spans="1:17" x14ac:dyDescent="0.4">
      <c r="A141" s="30">
        <f>급여대장!A141</f>
        <v>46143</v>
      </c>
      <c r="B141" s="17">
        <v>12</v>
      </c>
      <c r="C141" s="25" t="str">
        <f>급여대장!D141</f>
        <v>타래솔</v>
      </c>
      <c r="D141" s="24" t="str">
        <f>급여대장!E141</f>
        <v>C&amp;R팀</v>
      </c>
      <c r="E141" s="29">
        <f>급여대장!V141</f>
        <v>3851673</v>
      </c>
      <c r="F141" s="26">
        <f>TRUNC(MIN(MAX(E141,요율기준!$B$6),요율기준!$B$5)*요율기준!$B$4,-1)</f>
        <v>173320</v>
      </c>
      <c r="G141" s="26">
        <f t="shared" si="13"/>
        <v>173320</v>
      </c>
      <c r="H141" s="26">
        <f>TRUNC(E141*요율기준!$B$7,-1)</f>
        <v>136540</v>
      </c>
      <c r="I141" s="26">
        <f t="shared" si="14"/>
        <v>136540</v>
      </c>
      <c r="J141" s="26">
        <f>TRUNC(H141*요율기준!$B$8,-1)</f>
        <v>17680</v>
      </c>
      <c r="K141" s="26">
        <f t="shared" si="15"/>
        <v>17680</v>
      </c>
      <c r="L141" s="26">
        <f>TRUNC(E141*요율기준!$B$9,-1)</f>
        <v>34660</v>
      </c>
      <c r="M141" s="26">
        <f>TRUNC(E141*요율기준!$B$10,-1)</f>
        <v>44290</v>
      </c>
      <c r="N141" s="26">
        <f>TRUNC(E141*요율기준!$B$11,-1)</f>
        <v>56610</v>
      </c>
      <c r="O141" s="28">
        <f t="shared" si="16"/>
        <v>362200</v>
      </c>
      <c r="P141" s="28">
        <f t="shared" si="17"/>
        <v>428440</v>
      </c>
      <c r="Q141" s="28">
        <f t="shared" si="18"/>
        <v>790640</v>
      </c>
    </row>
    <row r="142" spans="1:17" x14ac:dyDescent="0.4">
      <c r="A142" s="30">
        <f>급여대장!A142</f>
        <v>46174</v>
      </c>
      <c r="B142" s="17">
        <v>12</v>
      </c>
      <c r="C142" s="25" t="str">
        <f>급여대장!D142</f>
        <v>타래솔</v>
      </c>
      <c r="D142" s="24" t="str">
        <f>급여대장!E142</f>
        <v>C&amp;R팀</v>
      </c>
      <c r="E142" s="29">
        <f>급여대장!V142</f>
        <v>3980859</v>
      </c>
      <c r="F142" s="26">
        <f>TRUNC(MIN(MAX(E142,요율기준!$B$6),요율기준!$B$5)*요율기준!$B$4,-1)</f>
        <v>179130</v>
      </c>
      <c r="G142" s="26">
        <f t="shared" si="13"/>
        <v>179130</v>
      </c>
      <c r="H142" s="26">
        <f>TRUNC(E142*요율기준!$B$7,-1)</f>
        <v>141120</v>
      </c>
      <c r="I142" s="26">
        <f t="shared" si="14"/>
        <v>141120</v>
      </c>
      <c r="J142" s="26">
        <f>TRUNC(H142*요율기준!$B$8,-1)</f>
        <v>18270</v>
      </c>
      <c r="K142" s="26">
        <f t="shared" si="15"/>
        <v>18270</v>
      </c>
      <c r="L142" s="26">
        <f>TRUNC(E142*요율기준!$B$9,-1)</f>
        <v>35820</v>
      </c>
      <c r="M142" s="26">
        <f>TRUNC(E142*요율기준!$B$10,-1)</f>
        <v>45770</v>
      </c>
      <c r="N142" s="26">
        <f>TRUNC(E142*요율기준!$B$11,-1)</f>
        <v>58510</v>
      </c>
      <c r="O142" s="28">
        <f t="shared" si="16"/>
        <v>374340</v>
      </c>
      <c r="P142" s="28">
        <f t="shared" si="17"/>
        <v>442800</v>
      </c>
      <c r="Q142" s="28">
        <f t="shared" si="18"/>
        <v>817140</v>
      </c>
    </row>
    <row r="143" spans="1:17" x14ac:dyDescent="0.4">
      <c r="A143" s="30">
        <f>급여대장!A143</f>
        <v>46204</v>
      </c>
      <c r="B143" s="17">
        <v>12</v>
      </c>
      <c r="C143" s="25" t="str">
        <f>급여대장!D143</f>
        <v>타래솔</v>
      </c>
      <c r="D143" s="24" t="str">
        <f>급여대장!E143</f>
        <v>C&amp;R팀</v>
      </c>
      <c r="E143" s="29">
        <f>급여대장!V143</f>
        <v>4110045</v>
      </c>
      <c r="F143" s="26">
        <f>TRUNC(MIN(MAX(E143,요율기준!$B$6),요율기준!$B$5)*요율기준!$B$4,-1)</f>
        <v>184950</v>
      </c>
      <c r="G143" s="26">
        <f t="shared" si="13"/>
        <v>184950</v>
      </c>
      <c r="H143" s="26">
        <f>TRUNC(E143*요율기준!$B$7,-1)</f>
        <v>145700</v>
      </c>
      <c r="I143" s="26">
        <f t="shared" si="14"/>
        <v>145700</v>
      </c>
      <c r="J143" s="26">
        <f>TRUNC(H143*요율기준!$B$8,-1)</f>
        <v>18860</v>
      </c>
      <c r="K143" s="26">
        <f t="shared" si="15"/>
        <v>18860</v>
      </c>
      <c r="L143" s="26">
        <f>TRUNC(E143*요율기준!$B$9,-1)</f>
        <v>36990</v>
      </c>
      <c r="M143" s="26">
        <f>TRUNC(E143*요율기준!$B$10,-1)</f>
        <v>47260</v>
      </c>
      <c r="N143" s="26">
        <f>TRUNC(E143*요율기준!$B$11,-1)</f>
        <v>60410</v>
      </c>
      <c r="O143" s="28">
        <f t="shared" si="16"/>
        <v>386500</v>
      </c>
      <c r="P143" s="28">
        <f t="shared" si="17"/>
        <v>457180</v>
      </c>
      <c r="Q143" s="28">
        <f t="shared" si="18"/>
        <v>843680</v>
      </c>
    </row>
    <row r="144" spans="1:17" x14ac:dyDescent="0.4">
      <c r="A144" s="30">
        <f>급여대장!A144</f>
        <v>46235</v>
      </c>
      <c r="B144" s="17">
        <v>12</v>
      </c>
      <c r="C144" s="25" t="str">
        <f>급여대장!D144</f>
        <v>타래솔</v>
      </c>
      <c r="D144" s="24" t="str">
        <f>급여대장!E144</f>
        <v>C&amp;R팀</v>
      </c>
      <c r="E144" s="29">
        <f>급여대장!V144</f>
        <v>4239231</v>
      </c>
      <c r="F144" s="26">
        <f>TRUNC(MIN(MAX(E144,요율기준!$B$6),요율기준!$B$5)*요율기준!$B$4,-1)</f>
        <v>190760</v>
      </c>
      <c r="G144" s="26">
        <f t="shared" si="13"/>
        <v>190760</v>
      </c>
      <c r="H144" s="26">
        <f>TRUNC(E144*요율기준!$B$7,-1)</f>
        <v>150280</v>
      </c>
      <c r="I144" s="26">
        <f t="shared" si="14"/>
        <v>150280</v>
      </c>
      <c r="J144" s="26">
        <f>TRUNC(H144*요율기준!$B$8,-1)</f>
        <v>19460</v>
      </c>
      <c r="K144" s="26">
        <f t="shared" si="15"/>
        <v>19460</v>
      </c>
      <c r="L144" s="26">
        <f>TRUNC(E144*요율기준!$B$9,-1)</f>
        <v>38150</v>
      </c>
      <c r="M144" s="26">
        <f>TRUNC(E144*요율기준!$B$10,-1)</f>
        <v>48750</v>
      </c>
      <c r="N144" s="26">
        <f>TRUNC(E144*요율기준!$B$11,-1)</f>
        <v>62310</v>
      </c>
      <c r="O144" s="28">
        <f t="shared" si="16"/>
        <v>398650</v>
      </c>
      <c r="P144" s="28">
        <f t="shared" si="17"/>
        <v>471560</v>
      </c>
      <c r="Q144" s="28">
        <f t="shared" si="18"/>
        <v>870210</v>
      </c>
    </row>
    <row r="145" spans="1:17" x14ac:dyDescent="0.4">
      <c r="A145" s="30">
        <f>급여대장!A145</f>
        <v>46266</v>
      </c>
      <c r="B145" s="17">
        <v>12</v>
      </c>
      <c r="C145" s="25" t="str">
        <f>급여대장!D145</f>
        <v>타래솔</v>
      </c>
      <c r="D145" s="24" t="str">
        <f>급여대장!E145</f>
        <v>C&amp;R팀</v>
      </c>
      <c r="E145" s="29">
        <f>급여대장!V145</f>
        <v>3744018</v>
      </c>
      <c r="F145" s="26">
        <f>TRUNC(MIN(MAX(E145,요율기준!$B$6),요율기준!$B$5)*요율기준!$B$4,-1)</f>
        <v>168480</v>
      </c>
      <c r="G145" s="26">
        <f t="shared" si="13"/>
        <v>168480</v>
      </c>
      <c r="H145" s="26">
        <f>TRUNC(E145*요율기준!$B$7,-1)</f>
        <v>132720</v>
      </c>
      <c r="I145" s="26">
        <f t="shared" si="14"/>
        <v>132720</v>
      </c>
      <c r="J145" s="26">
        <f>TRUNC(H145*요율기준!$B$8,-1)</f>
        <v>17180</v>
      </c>
      <c r="K145" s="26">
        <f t="shared" si="15"/>
        <v>17180</v>
      </c>
      <c r="L145" s="26">
        <f>TRUNC(E145*요율기준!$B$9,-1)</f>
        <v>33690</v>
      </c>
      <c r="M145" s="26">
        <f>TRUNC(E145*요율기준!$B$10,-1)</f>
        <v>43050</v>
      </c>
      <c r="N145" s="26">
        <f>TRUNC(E145*요율기준!$B$11,-1)</f>
        <v>55030</v>
      </c>
      <c r="O145" s="28">
        <f t="shared" si="16"/>
        <v>352070</v>
      </c>
      <c r="P145" s="28">
        <f t="shared" si="17"/>
        <v>416460</v>
      </c>
      <c r="Q145" s="28">
        <f t="shared" si="18"/>
        <v>768530</v>
      </c>
    </row>
    <row r="146" spans="1:17" x14ac:dyDescent="0.4">
      <c r="A146" s="30">
        <f>급여대장!A146</f>
        <v>46296</v>
      </c>
      <c r="B146" s="17">
        <v>12</v>
      </c>
      <c r="C146" s="25" t="str">
        <f>급여대장!D146</f>
        <v>타래솔</v>
      </c>
      <c r="D146" s="24" t="str">
        <f>급여대장!E146</f>
        <v>C&amp;R팀</v>
      </c>
      <c r="E146" s="29">
        <f>급여대장!V146</f>
        <v>3873204</v>
      </c>
      <c r="F146" s="26">
        <f>TRUNC(MIN(MAX(E146,요율기준!$B$6),요율기준!$B$5)*요율기준!$B$4,-1)</f>
        <v>174290</v>
      </c>
      <c r="G146" s="26">
        <f t="shared" si="13"/>
        <v>174290</v>
      </c>
      <c r="H146" s="26">
        <f>TRUNC(E146*요율기준!$B$7,-1)</f>
        <v>137300</v>
      </c>
      <c r="I146" s="26">
        <f t="shared" si="14"/>
        <v>137300</v>
      </c>
      <c r="J146" s="26">
        <f>TRUNC(H146*요율기준!$B$8,-1)</f>
        <v>17780</v>
      </c>
      <c r="K146" s="26">
        <f t="shared" si="15"/>
        <v>17780</v>
      </c>
      <c r="L146" s="26">
        <f>TRUNC(E146*요율기준!$B$9,-1)</f>
        <v>34850</v>
      </c>
      <c r="M146" s="26">
        <f>TRUNC(E146*요율기준!$B$10,-1)</f>
        <v>44540</v>
      </c>
      <c r="N146" s="26">
        <f>TRUNC(E146*요율기준!$B$11,-1)</f>
        <v>56930</v>
      </c>
      <c r="O146" s="28">
        <f t="shared" si="16"/>
        <v>364220</v>
      </c>
      <c r="P146" s="28">
        <f t="shared" si="17"/>
        <v>430840</v>
      </c>
      <c r="Q146" s="28">
        <f t="shared" si="18"/>
        <v>795060</v>
      </c>
    </row>
    <row r="147" spans="1:17" x14ac:dyDescent="0.4">
      <c r="A147" s="30">
        <f>급여대장!A147</f>
        <v>46327</v>
      </c>
      <c r="B147" s="17">
        <v>12</v>
      </c>
      <c r="C147" s="25" t="str">
        <f>급여대장!D147</f>
        <v>타래솔</v>
      </c>
      <c r="D147" s="24" t="str">
        <f>급여대장!E147</f>
        <v>C&amp;R팀</v>
      </c>
      <c r="E147" s="29">
        <f>급여대장!V147</f>
        <v>4002390</v>
      </c>
      <c r="F147" s="26">
        <f>TRUNC(MIN(MAX(E147,요율기준!$B$6),요율기준!$B$5)*요율기준!$B$4,-1)</f>
        <v>180100</v>
      </c>
      <c r="G147" s="26">
        <f t="shared" si="13"/>
        <v>180100</v>
      </c>
      <c r="H147" s="26">
        <f>TRUNC(E147*요율기준!$B$7,-1)</f>
        <v>141880</v>
      </c>
      <c r="I147" s="26">
        <f t="shared" si="14"/>
        <v>141880</v>
      </c>
      <c r="J147" s="26">
        <f>TRUNC(H147*요율기준!$B$8,-1)</f>
        <v>18370</v>
      </c>
      <c r="K147" s="26">
        <f t="shared" si="15"/>
        <v>18370</v>
      </c>
      <c r="L147" s="26">
        <f>TRUNC(E147*요율기준!$B$9,-1)</f>
        <v>36020</v>
      </c>
      <c r="M147" s="26">
        <f>TRUNC(E147*요율기준!$B$10,-1)</f>
        <v>46020</v>
      </c>
      <c r="N147" s="26">
        <f>TRUNC(E147*요율기준!$B$11,-1)</f>
        <v>58830</v>
      </c>
      <c r="O147" s="28">
        <f t="shared" si="16"/>
        <v>376370</v>
      </c>
      <c r="P147" s="28">
        <f t="shared" si="17"/>
        <v>445200</v>
      </c>
      <c r="Q147" s="28">
        <f t="shared" si="18"/>
        <v>821570</v>
      </c>
    </row>
    <row r="148" spans="1:17" x14ac:dyDescent="0.4">
      <c r="A148" s="30">
        <f>급여대장!A148</f>
        <v>46357</v>
      </c>
      <c r="B148" s="17">
        <v>12</v>
      </c>
      <c r="C148" s="25" t="str">
        <f>급여대장!D148</f>
        <v>타래솔</v>
      </c>
      <c r="D148" s="24" t="str">
        <f>급여대장!E148</f>
        <v>C&amp;R팀</v>
      </c>
      <c r="E148" s="29">
        <f>급여대장!V148</f>
        <v>4131576</v>
      </c>
      <c r="F148" s="26">
        <f>TRUNC(MIN(MAX(E148,요율기준!$B$6),요율기준!$B$5)*요율기준!$B$4,-1)</f>
        <v>185920</v>
      </c>
      <c r="G148" s="26">
        <f t="shared" si="13"/>
        <v>185920</v>
      </c>
      <c r="H148" s="26">
        <f>TRUNC(E148*요율기준!$B$7,-1)</f>
        <v>146460</v>
      </c>
      <c r="I148" s="26">
        <f t="shared" si="14"/>
        <v>146460</v>
      </c>
      <c r="J148" s="26">
        <f>TRUNC(H148*요율기준!$B$8,-1)</f>
        <v>18960</v>
      </c>
      <c r="K148" s="26">
        <f t="shared" si="15"/>
        <v>18960</v>
      </c>
      <c r="L148" s="26">
        <f>TRUNC(E148*요율기준!$B$9,-1)</f>
        <v>37180</v>
      </c>
      <c r="M148" s="26">
        <f>TRUNC(E148*요율기준!$B$10,-1)</f>
        <v>47510</v>
      </c>
      <c r="N148" s="26">
        <f>TRUNC(E148*요율기준!$B$11,-1)</f>
        <v>60730</v>
      </c>
      <c r="O148" s="28">
        <f t="shared" si="16"/>
        <v>388520</v>
      </c>
      <c r="P148" s="28">
        <f t="shared" si="17"/>
        <v>459580</v>
      </c>
      <c r="Q148" s="28">
        <f t="shared" si="18"/>
        <v>848100</v>
      </c>
    </row>
    <row r="149" spans="1:17" x14ac:dyDescent="0.4">
      <c r="A149" s="30">
        <f>급여대장!A149</f>
        <v>46023</v>
      </c>
      <c r="B149" s="17">
        <v>13</v>
      </c>
      <c r="C149" s="25" t="str">
        <f>급여대장!D149</f>
        <v>파도한</v>
      </c>
      <c r="D149" s="24" t="str">
        <f>급여대장!E149</f>
        <v>C&amp;S 2팀</v>
      </c>
      <c r="E149" s="29">
        <f>급여대장!V149</f>
        <v>3504463</v>
      </c>
      <c r="F149" s="26">
        <f>TRUNC(MIN(MAX(E149,요율기준!$B$6),요율기준!$B$5)*요율기준!$B$4,-1)</f>
        <v>157700</v>
      </c>
      <c r="G149" s="26">
        <f t="shared" si="13"/>
        <v>157700</v>
      </c>
      <c r="H149" s="26">
        <f>TRUNC(E149*요율기준!$B$7,-1)</f>
        <v>124230</v>
      </c>
      <c r="I149" s="26">
        <f t="shared" si="14"/>
        <v>124230</v>
      </c>
      <c r="J149" s="26">
        <f>TRUNC(H149*요율기준!$B$8,-1)</f>
        <v>16080</v>
      </c>
      <c r="K149" s="26">
        <f t="shared" si="15"/>
        <v>16080</v>
      </c>
      <c r="L149" s="26">
        <f>TRUNC(E149*요율기준!$B$9,-1)</f>
        <v>31540</v>
      </c>
      <c r="M149" s="26">
        <f>TRUNC(E149*요율기준!$B$10,-1)</f>
        <v>40300</v>
      </c>
      <c r="N149" s="26">
        <f>TRUNC(E149*요율기준!$B$11,-1)</f>
        <v>51510</v>
      </c>
      <c r="O149" s="28">
        <f t="shared" si="16"/>
        <v>329550</v>
      </c>
      <c r="P149" s="28">
        <f t="shared" si="17"/>
        <v>389820</v>
      </c>
      <c r="Q149" s="28">
        <f t="shared" si="18"/>
        <v>719370</v>
      </c>
    </row>
    <row r="150" spans="1:17" x14ac:dyDescent="0.4">
      <c r="A150" s="30">
        <f>급여대장!A150</f>
        <v>46054</v>
      </c>
      <c r="B150" s="17">
        <v>13</v>
      </c>
      <c r="C150" s="25" t="str">
        <f>급여대장!D150</f>
        <v>파도한</v>
      </c>
      <c r="D150" s="24" t="str">
        <f>급여대장!E150</f>
        <v>C&amp;S 2팀</v>
      </c>
      <c r="E150" s="29">
        <f>급여대장!V150</f>
        <v>3620734</v>
      </c>
      <c r="F150" s="26">
        <f>TRUNC(MIN(MAX(E150,요율기준!$B$6),요율기준!$B$5)*요율기준!$B$4,-1)</f>
        <v>162930</v>
      </c>
      <c r="G150" s="26">
        <f t="shared" si="13"/>
        <v>162930</v>
      </c>
      <c r="H150" s="26">
        <f>TRUNC(E150*요율기준!$B$7,-1)</f>
        <v>128350</v>
      </c>
      <c r="I150" s="26">
        <f t="shared" si="14"/>
        <v>128350</v>
      </c>
      <c r="J150" s="26">
        <f>TRUNC(H150*요율기준!$B$8,-1)</f>
        <v>16620</v>
      </c>
      <c r="K150" s="26">
        <f t="shared" si="15"/>
        <v>16620</v>
      </c>
      <c r="L150" s="26">
        <f>TRUNC(E150*요율기준!$B$9,-1)</f>
        <v>32580</v>
      </c>
      <c r="M150" s="26">
        <f>TRUNC(E150*요율기준!$B$10,-1)</f>
        <v>41630</v>
      </c>
      <c r="N150" s="26">
        <f>TRUNC(E150*요율기준!$B$11,-1)</f>
        <v>53220</v>
      </c>
      <c r="O150" s="28">
        <f t="shared" si="16"/>
        <v>340480</v>
      </c>
      <c r="P150" s="28">
        <f t="shared" si="17"/>
        <v>402750</v>
      </c>
      <c r="Q150" s="28">
        <f t="shared" si="18"/>
        <v>743230</v>
      </c>
    </row>
    <row r="151" spans="1:17" x14ac:dyDescent="0.4">
      <c r="A151" s="30">
        <f>급여대장!A151</f>
        <v>46082</v>
      </c>
      <c r="B151" s="17">
        <v>13</v>
      </c>
      <c r="C151" s="25" t="str">
        <f>급여대장!D151</f>
        <v>파도한</v>
      </c>
      <c r="D151" s="24" t="str">
        <f>급여대장!E151</f>
        <v>C&amp;S 2팀</v>
      </c>
      <c r="E151" s="29">
        <f>급여대장!V151</f>
        <v>3252543</v>
      </c>
      <c r="F151" s="26">
        <f>TRUNC(MIN(MAX(E151,요율기준!$B$6),요율기준!$B$5)*요율기준!$B$4,-1)</f>
        <v>146360</v>
      </c>
      <c r="G151" s="26">
        <f t="shared" si="13"/>
        <v>146360</v>
      </c>
      <c r="H151" s="26">
        <f>TRUNC(E151*요율기준!$B$7,-1)</f>
        <v>115300</v>
      </c>
      <c r="I151" s="26">
        <f t="shared" si="14"/>
        <v>115300</v>
      </c>
      <c r="J151" s="26">
        <f>TRUNC(H151*요율기준!$B$8,-1)</f>
        <v>14930</v>
      </c>
      <c r="K151" s="26">
        <f t="shared" si="15"/>
        <v>14930</v>
      </c>
      <c r="L151" s="26">
        <f>TRUNC(E151*요율기준!$B$9,-1)</f>
        <v>29270</v>
      </c>
      <c r="M151" s="26">
        <f>TRUNC(E151*요율기준!$B$10,-1)</f>
        <v>37400</v>
      </c>
      <c r="N151" s="26">
        <f>TRUNC(E151*요율기준!$B$11,-1)</f>
        <v>47810</v>
      </c>
      <c r="O151" s="28">
        <f t="shared" si="16"/>
        <v>305860</v>
      </c>
      <c r="P151" s="28">
        <f t="shared" si="17"/>
        <v>361800</v>
      </c>
      <c r="Q151" s="28">
        <f t="shared" si="18"/>
        <v>667660</v>
      </c>
    </row>
    <row r="152" spans="1:17" x14ac:dyDescent="0.4">
      <c r="A152" s="30">
        <f>급여대장!A152</f>
        <v>46113</v>
      </c>
      <c r="B152" s="17">
        <v>13</v>
      </c>
      <c r="C152" s="25" t="str">
        <f>급여대장!D152</f>
        <v>파도한</v>
      </c>
      <c r="D152" s="24" t="str">
        <f>급여대장!E152</f>
        <v>C&amp;S 2팀</v>
      </c>
      <c r="E152" s="29">
        <f>급여대장!V152</f>
        <v>3291299</v>
      </c>
      <c r="F152" s="26">
        <f>TRUNC(MIN(MAX(E152,요율기준!$B$6),요율기준!$B$5)*요율기준!$B$4,-1)</f>
        <v>148100</v>
      </c>
      <c r="G152" s="26">
        <f t="shared" si="13"/>
        <v>148100</v>
      </c>
      <c r="H152" s="26">
        <f>TRUNC(E152*요율기준!$B$7,-1)</f>
        <v>116670</v>
      </c>
      <c r="I152" s="26">
        <f t="shared" si="14"/>
        <v>116670</v>
      </c>
      <c r="J152" s="26">
        <f>TRUNC(H152*요율기준!$B$8,-1)</f>
        <v>15100</v>
      </c>
      <c r="K152" s="26">
        <f t="shared" si="15"/>
        <v>15100</v>
      </c>
      <c r="L152" s="26">
        <f>TRUNC(E152*요율기준!$B$9,-1)</f>
        <v>29620</v>
      </c>
      <c r="M152" s="26">
        <f>TRUNC(E152*요율기준!$B$10,-1)</f>
        <v>37840</v>
      </c>
      <c r="N152" s="26">
        <f>TRUNC(E152*요율기준!$B$11,-1)</f>
        <v>48380</v>
      </c>
      <c r="O152" s="28">
        <f t="shared" si="16"/>
        <v>309490</v>
      </c>
      <c r="P152" s="28">
        <f t="shared" si="17"/>
        <v>366090</v>
      </c>
      <c r="Q152" s="28">
        <f t="shared" si="18"/>
        <v>675580</v>
      </c>
    </row>
    <row r="153" spans="1:17" x14ac:dyDescent="0.4">
      <c r="A153" s="30">
        <f>급여대장!A153</f>
        <v>46143</v>
      </c>
      <c r="B153" s="17">
        <v>13</v>
      </c>
      <c r="C153" s="25" t="str">
        <f>급여대장!D153</f>
        <v>파도한</v>
      </c>
      <c r="D153" s="24" t="str">
        <f>급여대장!E153</f>
        <v>C&amp;S 2팀</v>
      </c>
      <c r="E153" s="29">
        <f>급여대장!V153</f>
        <v>3407571</v>
      </c>
      <c r="F153" s="26">
        <f>TRUNC(MIN(MAX(E153,요율기준!$B$6),요율기준!$B$5)*요율기준!$B$4,-1)</f>
        <v>153340</v>
      </c>
      <c r="G153" s="26">
        <f t="shared" si="13"/>
        <v>153340</v>
      </c>
      <c r="H153" s="26">
        <f>TRUNC(E153*요율기준!$B$7,-1)</f>
        <v>120790</v>
      </c>
      <c r="I153" s="26">
        <f t="shared" si="14"/>
        <v>120790</v>
      </c>
      <c r="J153" s="26">
        <f>TRUNC(H153*요율기준!$B$8,-1)</f>
        <v>15640</v>
      </c>
      <c r="K153" s="26">
        <f t="shared" si="15"/>
        <v>15640</v>
      </c>
      <c r="L153" s="26">
        <f>TRUNC(E153*요율기준!$B$9,-1)</f>
        <v>30660</v>
      </c>
      <c r="M153" s="26">
        <f>TRUNC(E153*요율기준!$B$10,-1)</f>
        <v>39180</v>
      </c>
      <c r="N153" s="26">
        <f>TRUNC(E153*요율기준!$B$11,-1)</f>
        <v>50090</v>
      </c>
      <c r="O153" s="28">
        <f t="shared" si="16"/>
        <v>320430</v>
      </c>
      <c r="P153" s="28">
        <f t="shared" si="17"/>
        <v>379040</v>
      </c>
      <c r="Q153" s="28">
        <f t="shared" si="18"/>
        <v>699470</v>
      </c>
    </row>
    <row r="154" spans="1:17" x14ac:dyDescent="0.4">
      <c r="A154" s="30">
        <f>급여대장!A154</f>
        <v>46174</v>
      </c>
      <c r="B154" s="17">
        <v>13</v>
      </c>
      <c r="C154" s="25" t="str">
        <f>급여대장!D154</f>
        <v>파도한</v>
      </c>
      <c r="D154" s="24" t="str">
        <f>급여대장!E154</f>
        <v>C&amp;S 2팀</v>
      </c>
      <c r="E154" s="29">
        <f>급여대장!V154</f>
        <v>3523841</v>
      </c>
      <c r="F154" s="26">
        <f>TRUNC(MIN(MAX(E154,요율기준!$B$6),요율기준!$B$5)*요율기준!$B$4,-1)</f>
        <v>158570</v>
      </c>
      <c r="G154" s="26">
        <f t="shared" si="13"/>
        <v>158570</v>
      </c>
      <c r="H154" s="26">
        <f>TRUNC(E154*요율기준!$B$7,-1)</f>
        <v>124920</v>
      </c>
      <c r="I154" s="26">
        <f t="shared" si="14"/>
        <v>124920</v>
      </c>
      <c r="J154" s="26">
        <f>TRUNC(H154*요율기준!$B$8,-1)</f>
        <v>16170</v>
      </c>
      <c r="K154" s="26">
        <f t="shared" si="15"/>
        <v>16170</v>
      </c>
      <c r="L154" s="26">
        <f>TRUNC(E154*요율기준!$B$9,-1)</f>
        <v>31710</v>
      </c>
      <c r="M154" s="26">
        <f>TRUNC(E154*요율기준!$B$10,-1)</f>
        <v>40520</v>
      </c>
      <c r="N154" s="26">
        <f>TRUNC(E154*요율기준!$B$11,-1)</f>
        <v>51800</v>
      </c>
      <c r="O154" s="28">
        <f t="shared" si="16"/>
        <v>331370</v>
      </c>
      <c r="P154" s="28">
        <f t="shared" si="17"/>
        <v>391980</v>
      </c>
      <c r="Q154" s="28">
        <f t="shared" si="18"/>
        <v>723350</v>
      </c>
    </row>
    <row r="155" spans="1:17" x14ac:dyDescent="0.4">
      <c r="A155" s="30">
        <f>급여대장!A155</f>
        <v>46204</v>
      </c>
      <c r="B155" s="17">
        <v>13</v>
      </c>
      <c r="C155" s="25" t="str">
        <f>급여대장!D155</f>
        <v>파도한</v>
      </c>
      <c r="D155" s="24" t="str">
        <f>급여대장!E155</f>
        <v>C&amp;S 2팀</v>
      </c>
      <c r="E155" s="29">
        <f>급여대장!V155</f>
        <v>3640113</v>
      </c>
      <c r="F155" s="26">
        <f>TRUNC(MIN(MAX(E155,요율기준!$B$6),요율기준!$B$5)*요율기준!$B$4,-1)</f>
        <v>163800</v>
      </c>
      <c r="G155" s="26">
        <f t="shared" si="13"/>
        <v>163800</v>
      </c>
      <c r="H155" s="26">
        <f>TRUNC(E155*요율기준!$B$7,-1)</f>
        <v>129040</v>
      </c>
      <c r="I155" s="26">
        <f t="shared" si="14"/>
        <v>129040</v>
      </c>
      <c r="J155" s="26">
        <f>TRUNC(H155*요율기준!$B$8,-1)</f>
        <v>16710</v>
      </c>
      <c r="K155" s="26">
        <f t="shared" si="15"/>
        <v>16710</v>
      </c>
      <c r="L155" s="26">
        <f>TRUNC(E155*요율기준!$B$9,-1)</f>
        <v>32760</v>
      </c>
      <c r="M155" s="26">
        <f>TRUNC(E155*요율기준!$B$10,-1)</f>
        <v>41860</v>
      </c>
      <c r="N155" s="26">
        <f>TRUNC(E155*요율기준!$B$11,-1)</f>
        <v>53500</v>
      </c>
      <c r="O155" s="28">
        <f t="shared" si="16"/>
        <v>342310</v>
      </c>
      <c r="P155" s="28">
        <f t="shared" si="17"/>
        <v>404910</v>
      </c>
      <c r="Q155" s="28">
        <f t="shared" si="18"/>
        <v>747220</v>
      </c>
    </row>
    <row r="156" spans="1:17" x14ac:dyDescent="0.4">
      <c r="A156" s="30">
        <f>급여대장!A156</f>
        <v>46235</v>
      </c>
      <c r="B156" s="17">
        <v>13</v>
      </c>
      <c r="C156" s="25" t="str">
        <f>급여대장!D156</f>
        <v>파도한</v>
      </c>
      <c r="D156" s="24" t="str">
        <f>급여대장!E156</f>
        <v>C&amp;S 2팀</v>
      </c>
      <c r="E156" s="29">
        <f>급여대장!V156</f>
        <v>3194407</v>
      </c>
      <c r="F156" s="26">
        <f>TRUNC(MIN(MAX(E156,요율기준!$B$6),요율기준!$B$5)*요율기준!$B$4,-1)</f>
        <v>143740</v>
      </c>
      <c r="G156" s="26">
        <f t="shared" si="13"/>
        <v>143740</v>
      </c>
      <c r="H156" s="26">
        <f>TRUNC(E156*요율기준!$B$7,-1)</f>
        <v>113240</v>
      </c>
      <c r="I156" s="26">
        <f t="shared" si="14"/>
        <v>113240</v>
      </c>
      <c r="J156" s="26">
        <f>TRUNC(H156*요율기준!$B$8,-1)</f>
        <v>14660</v>
      </c>
      <c r="K156" s="26">
        <f t="shared" si="15"/>
        <v>14660</v>
      </c>
      <c r="L156" s="26">
        <f>TRUNC(E156*요율기준!$B$9,-1)</f>
        <v>28740</v>
      </c>
      <c r="M156" s="26">
        <f>TRUNC(E156*요율기준!$B$10,-1)</f>
        <v>36730</v>
      </c>
      <c r="N156" s="26">
        <f>TRUNC(E156*요율기준!$B$11,-1)</f>
        <v>46950</v>
      </c>
      <c r="O156" s="28">
        <f t="shared" si="16"/>
        <v>300380</v>
      </c>
      <c r="P156" s="28">
        <f t="shared" si="17"/>
        <v>355320</v>
      </c>
      <c r="Q156" s="28">
        <f t="shared" si="18"/>
        <v>655700</v>
      </c>
    </row>
    <row r="157" spans="1:17" x14ac:dyDescent="0.4">
      <c r="A157" s="30">
        <f>급여대장!A157</f>
        <v>46266</v>
      </c>
      <c r="B157" s="17">
        <v>13</v>
      </c>
      <c r="C157" s="25" t="str">
        <f>급여대장!D157</f>
        <v>파도한</v>
      </c>
      <c r="D157" s="24" t="str">
        <f>급여대장!E157</f>
        <v>C&amp;S 2팀</v>
      </c>
      <c r="E157" s="29">
        <f>급여대장!V157</f>
        <v>3310678</v>
      </c>
      <c r="F157" s="26">
        <f>TRUNC(MIN(MAX(E157,요율기준!$B$6),요율기준!$B$5)*요율기준!$B$4,-1)</f>
        <v>148980</v>
      </c>
      <c r="G157" s="26">
        <f t="shared" si="13"/>
        <v>148980</v>
      </c>
      <c r="H157" s="26">
        <f>TRUNC(E157*요율기준!$B$7,-1)</f>
        <v>117360</v>
      </c>
      <c r="I157" s="26">
        <f t="shared" si="14"/>
        <v>117360</v>
      </c>
      <c r="J157" s="26">
        <f>TRUNC(H157*요율기준!$B$8,-1)</f>
        <v>15190</v>
      </c>
      <c r="K157" s="26">
        <f t="shared" si="15"/>
        <v>15190</v>
      </c>
      <c r="L157" s="26">
        <f>TRUNC(E157*요율기준!$B$9,-1)</f>
        <v>29790</v>
      </c>
      <c r="M157" s="26">
        <f>TRUNC(E157*요율기준!$B$10,-1)</f>
        <v>38070</v>
      </c>
      <c r="N157" s="26">
        <f>TRUNC(E157*요율기준!$B$11,-1)</f>
        <v>48660</v>
      </c>
      <c r="O157" s="28">
        <f t="shared" si="16"/>
        <v>311320</v>
      </c>
      <c r="P157" s="28">
        <f t="shared" si="17"/>
        <v>368260</v>
      </c>
      <c r="Q157" s="28">
        <f t="shared" si="18"/>
        <v>679580</v>
      </c>
    </row>
    <row r="158" spans="1:17" x14ac:dyDescent="0.4">
      <c r="A158" s="30">
        <f>급여대장!A158</f>
        <v>46296</v>
      </c>
      <c r="B158" s="17">
        <v>13</v>
      </c>
      <c r="C158" s="25" t="str">
        <f>급여대장!D158</f>
        <v>파도한</v>
      </c>
      <c r="D158" s="24" t="str">
        <f>급여대장!E158</f>
        <v>C&amp;S 2팀</v>
      </c>
      <c r="E158" s="29">
        <f>급여대장!V158</f>
        <v>3426949</v>
      </c>
      <c r="F158" s="26">
        <f>TRUNC(MIN(MAX(E158,요율기준!$B$6),요율기준!$B$5)*요율기준!$B$4,-1)</f>
        <v>154210</v>
      </c>
      <c r="G158" s="26">
        <f t="shared" si="13"/>
        <v>154210</v>
      </c>
      <c r="H158" s="26">
        <f>TRUNC(E158*요율기준!$B$7,-1)</f>
        <v>121480</v>
      </c>
      <c r="I158" s="26">
        <f t="shared" si="14"/>
        <v>121480</v>
      </c>
      <c r="J158" s="26">
        <f>TRUNC(H158*요율기준!$B$8,-1)</f>
        <v>15730</v>
      </c>
      <c r="K158" s="26">
        <f t="shared" si="15"/>
        <v>15730</v>
      </c>
      <c r="L158" s="26">
        <f>TRUNC(E158*요율기준!$B$9,-1)</f>
        <v>30840</v>
      </c>
      <c r="M158" s="26">
        <f>TRUNC(E158*요율기준!$B$10,-1)</f>
        <v>39400</v>
      </c>
      <c r="N158" s="26">
        <f>TRUNC(E158*요율기준!$B$11,-1)</f>
        <v>50370</v>
      </c>
      <c r="O158" s="28">
        <f t="shared" si="16"/>
        <v>322260</v>
      </c>
      <c r="P158" s="28">
        <f t="shared" si="17"/>
        <v>381190</v>
      </c>
      <c r="Q158" s="28">
        <f t="shared" si="18"/>
        <v>703450</v>
      </c>
    </row>
    <row r="159" spans="1:17" x14ac:dyDescent="0.4">
      <c r="A159" s="30">
        <f>급여대장!A159</f>
        <v>46327</v>
      </c>
      <c r="B159" s="17">
        <v>13</v>
      </c>
      <c r="C159" s="25" t="str">
        <f>급여대장!D159</f>
        <v>파도한</v>
      </c>
      <c r="D159" s="24" t="str">
        <f>급여대장!E159</f>
        <v>C&amp;S 2팀</v>
      </c>
      <c r="E159" s="29">
        <f>급여대장!V159</f>
        <v>3543220</v>
      </c>
      <c r="F159" s="26">
        <f>TRUNC(MIN(MAX(E159,요율기준!$B$6),요율기준!$B$5)*요율기준!$B$4,-1)</f>
        <v>159440</v>
      </c>
      <c r="G159" s="26">
        <f t="shared" si="13"/>
        <v>159440</v>
      </c>
      <c r="H159" s="26">
        <f>TRUNC(E159*요율기준!$B$7,-1)</f>
        <v>125600</v>
      </c>
      <c r="I159" s="26">
        <f t="shared" si="14"/>
        <v>125600</v>
      </c>
      <c r="J159" s="26">
        <f>TRUNC(H159*요율기준!$B$8,-1)</f>
        <v>16260</v>
      </c>
      <c r="K159" s="26">
        <f t="shared" si="15"/>
        <v>16260</v>
      </c>
      <c r="L159" s="26">
        <f>TRUNC(E159*요율기준!$B$9,-1)</f>
        <v>31880</v>
      </c>
      <c r="M159" s="26">
        <f>TRUNC(E159*요율기준!$B$10,-1)</f>
        <v>40740</v>
      </c>
      <c r="N159" s="26">
        <f>TRUNC(E159*요율기준!$B$11,-1)</f>
        <v>52080</v>
      </c>
      <c r="O159" s="28">
        <f t="shared" si="16"/>
        <v>333180</v>
      </c>
      <c r="P159" s="28">
        <f t="shared" si="17"/>
        <v>394120</v>
      </c>
      <c r="Q159" s="28">
        <f t="shared" si="18"/>
        <v>727300</v>
      </c>
    </row>
    <row r="160" spans="1:17" x14ac:dyDescent="0.4">
      <c r="A160" s="30">
        <f>급여대장!A160</f>
        <v>46357</v>
      </c>
      <c r="B160" s="17">
        <v>13</v>
      </c>
      <c r="C160" s="25" t="str">
        <f>급여대장!D160</f>
        <v>파도한</v>
      </c>
      <c r="D160" s="24" t="str">
        <f>급여대장!E160</f>
        <v>C&amp;S 2팀</v>
      </c>
      <c r="E160" s="29">
        <f>급여대장!V160</f>
        <v>3581977</v>
      </c>
      <c r="F160" s="26">
        <f>TRUNC(MIN(MAX(E160,요율기준!$B$6),요율기준!$B$5)*요율기준!$B$4,-1)</f>
        <v>161180</v>
      </c>
      <c r="G160" s="26">
        <f t="shared" si="13"/>
        <v>161180</v>
      </c>
      <c r="H160" s="26">
        <f>TRUNC(E160*요율기준!$B$7,-1)</f>
        <v>126980</v>
      </c>
      <c r="I160" s="26">
        <f t="shared" si="14"/>
        <v>126980</v>
      </c>
      <c r="J160" s="26">
        <f>TRUNC(H160*요율기준!$B$8,-1)</f>
        <v>16440</v>
      </c>
      <c r="K160" s="26">
        <f t="shared" si="15"/>
        <v>16440</v>
      </c>
      <c r="L160" s="26">
        <f>TRUNC(E160*요율기준!$B$9,-1)</f>
        <v>32230</v>
      </c>
      <c r="M160" s="26">
        <f>TRUNC(E160*요율기준!$B$10,-1)</f>
        <v>41190</v>
      </c>
      <c r="N160" s="26">
        <f>TRUNC(E160*요율기준!$B$11,-1)</f>
        <v>52650</v>
      </c>
      <c r="O160" s="28">
        <f t="shared" si="16"/>
        <v>336830</v>
      </c>
      <c r="P160" s="28">
        <f t="shared" si="17"/>
        <v>398440</v>
      </c>
      <c r="Q160" s="28">
        <f t="shared" si="18"/>
        <v>735270</v>
      </c>
    </row>
    <row r="161" spans="1:17" x14ac:dyDescent="0.4">
      <c r="A161" s="30">
        <f>급여대장!A161</f>
        <v>46023</v>
      </c>
      <c r="B161" s="17">
        <v>14</v>
      </c>
      <c r="C161" s="25" t="str">
        <f>급여대장!D161</f>
        <v>하나로</v>
      </c>
      <c r="D161" s="24" t="str">
        <f>급여대장!E161</f>
        <v>안전/공무</v>
      </c>
      <c r="E161" s="29">
        <f>급여대장!V161</f>
        <v>3575518</v>
      </c>
      <c r="F161" s="26">
        <f>TRUNC(MIN(MAX(E161,요율기준!$B$6),요율기준!$B$5)*요율기준!$B$4,-1)</f>
        <v>160890</v>
      </c>
      <c r="G161" s="26">
        <f t="shared" si="13"/>
        <v>160890</v>
      </c>
      <c r="H161" s="26">
        <f>TRUNC(E161*요율기준!$B$7,-1)</f>
        <v>126750</v>
      </c>
      <c r="I161" s="26">
        <f t="shared" si="14"/>
        <v>126750</v>
      </c>
      <c r="J161" s="26">
        <f>TRUNC(H161*요율기준!$B$8,-1)</f>
        <v>16410</v>
      </c>
      <c r="K161" s="26">
        <f t="shared" si="15"/>
        <v>16410</v>
      </c>
      <c r="L161" s="26">
        <f>TRUNC(E161*요율기준!$B$9,-1)</f>
        <v>32170</v>
      </c>
      <c r="M161" s="26">
        <f>TRUNC(E161*요율기준!$B$10,-1)</f>
        <v>41110</v>
      </c>
      <c r="N161" s="26">
        <f>TRUNC(E161*요율기준!$B$11,-1)</f>
        <v>52560</v>
      </c>
      <c r="O161" s="28">
        <f t="shared" si="16"/>
        <v>336220</v>
      </c>
      <c r="P161" s="28">
        <f t="shared" si="17"/>
        <v>397720</v>
      </c>
      <c r="Q161" s="28">
        <f t="shared" si="18"/>
        <v>733940</v>
      </c>
    </row>
    <row r="162" spans="1:17" x14ac:dyDescent="0.4">
      <c r="A162" s="30">
        <f>급여대장!A162</f>
        <v>46054</v>
      </c>
      <c r="B162" s="17">
        <v>14</v>
      </c>
      <c r="C162" s="25" t="str">
        <f>급여대장!D162</f>
        <v>하나로</v>
      </c>
      <c r="D162" s="24" t="str">
        <f>급여대장!E162</f>
        <v>안전/공무</v>
      </c>
      <c r="E162" s="29">
        <f>급여대장!V162</f>
        <v>3691788</v>
      </c>
      <c r="F162" s="26">
        <f>TRUNC(MIN(MAX(E162,요율기준!$B$6),요율기준!$B$5)*요율기준!$B$4,-1)</f>
        <v>166130</v>
      </c>
      <c r="G162" s="26">
        <f t="shared" si="13"/>
        <v>166130</v>
      </c>
      <c r="H162" s="26">
        <f>TRUNC(E162*요율기준!$B$7,-1)</f>
        <v>130870</v>
      </c>
      <c r="I162" s="26">
        <f t="shared" si="14"/>
        <v>130870</v>
      </c>
      <c r="J162" s="26">
        <f>TRUNC(H162*요율기준!$B$8,-1)</f>
        <v>16940</v>
      </c>
      <c r="K162" s="26">
        <f t="shared" si="15"/>
        <v>16940</v>
      </c>
      <c r="L162" s="26">
        <f>TRUNC(E162*요율기준!$B$9,-1)</f>
        <v>33220</v>
      </c>
      <c r="M162" s="26">
        <f>TRUNC(E162*요율기준!$B$10,-1)</f>
        <v>42450</v>
      </c>
      <c r="N162" s="26">
        <f>TRUNC(E162*요율기준!$B$11,-1)</f>
        <v>54260</v>
      </c>
      <c r="O162" s="28">
        <f t="shared" si="16"/>
        <v>347160</v>
      </c>
      <c r="P162" s="28">
        <f t="shared" si="17"/>
        <v>410650</v>
      </c>
      <c r="Q162" s="28">
        <f t="shared" si="18"/>
        <v>757810</v>
      </c>
    </row>
    <row r="163" spans="1:17" x14ac:dyDescent="0.4">
      <c r="A163" s="30">
        <f>급여대장!A163</f>
        <v>46082</v>
      </c>
      <c r="B163" s="17">
        <v>14</v>
      </c>
      <c r="C163" s="25" t="str">
        <f>급여대장!D163</f>
        <v>하나로</v>
      </c>
      <c r="D163" s="24" t="str">
        <f>급여대장!E163</f>
        <v>안전/공무</v>
      </c>
      <c r="E163" s="29">
        <f>급여대장!V163</f>
        <v>3323597</v>
      </c>
      <c r="F163" s="26">
        <f>TRUNC(MIN(MAX(E163,요율기준!$B$6),요율기준!$B$5)*요율기준!$B$4,-1)</f>
        <v>149560</v>
      </c>
      <c r="G163" s="26">
        <f t="shared" si="13"/>
        <v>149560</v>
      </c>
      <c r="H163" s="26">
        <f>TRUNC(E163*요율기준!$B$7,-1)</f>
        <v>117820</v>
      </c>
      <c r="I163" s="26">
        <f t="shared" si="14"/>
        <v>117820</v>
      </c>
      <c r="J163" s="26">
        <f>TRUNC(H163*요율기준!$B$8,-1)</f>
        <v>15250</v>
      </c>
      <c r="K163" s="26">
        <f t="shared" si="15"/>
        <v>15250</v>
      </c>
      <c r="L163" s="26">
        <f>TRUNC(E163*요율기준!$B$9,-1)</f>
        <v>29910</v>
      </c>
      <c r="M163" s="26">
        <f>TRUNC(E163*요율기준!$B$10,-1)</f>
        <v>38220</v>
      </c>
      <c r="N163" s="26">
        <f>TRUNC(E163*요율기준!$B$11,-1)</f>
        <v>48850</v>
      </c>
      <c r="O163" s="28">
        <f t="shared" si="16"/>
        <v>312540</v>
      </c>
      <c r="P163" s="28">
        <f t="shared" si="17"/>
        <v>369700</v>
      </c>
      <c r="Q163" s="28">
        <f t="shared" si="18"/>
        <v>682240</v>
      </c>
    </row>
    <row r="164" spans="1:17" x14ac:dyDescent="0.4">
      <c r="A164" s="30">
        <f>급여대장!A164</f>
        <v>46113</v>
      </c>
      <c r="B164" s="17">
        <v>14</v>
      </c>
      <c r="C164" s="25" t="str">
        <f>급여대장!D164</f>
        <v>하나로</v>
      </c>
      <c r="D164" s="24" t="str">
        <f>급여대장!E164</f>
        <v>안전/공무</v>
      </c>
      <c r="E164" s="29">
        <f>급여대장!V164</f>
        <v>3362354</v>
      </c>
      <c r="F164" s="26">
        <f>TRUNC(MIN(MAX(E164,요율기준!$B$6),요율기준!$B$5)*요율기준!$B$4,-1)</f>
        <v>151300</v>
      </c>
      <c r="G164" s="26">
        <f t="shared" si="13"/>
        <v>151300</v>
      </c>
      <c r="H164" s="26">
        <f>TRUNC(E164*요율기준!$B$7,-1)</f>
        <v>119190</v>
      </c>
      <c r="I164" s="26">
        <f t="shared" si="14"/>
        <v>119190</v>
      </c>
      <c r="J164" s="26">
        <f>TRUNC(H164*요율기준!$B$8,-1)</f>
        <v>15430</v>
      </c>
      <c r="K164" s="26">
        <f t="shared" si="15"/>
        <v>15430</v>
      </c>
      <c r="L164" s="26">
        <f>TRUNC(E164*요율기준!$B$9,-1)</f>
        <v>30260</v>
      </c>
      <c r="M164" s="26">
        <f>TRUNC(E164*요율기준!$B$10,-1)</f>
        <v>38660</v>
      </c>
      <c r="N164" s="26">
        <f>TRUNC(E164*요율기준!$B$11,-1)</f>
        <v>49420</v>
      </c>
      <c r="O164" s="28">
        <f t="shared" si="16"/>
        <v>316180</v>
      </c>
      <c r="P164" s="28">
        <f t="shared" si="17"/>
        <v>374000</v>
      </c>
      <c r="Q164" s="28">
        <f t="shared" si="18"/>
        <v>690180</v>
      </c>
    </row>
    <row r="165" spans="1:17" x14ac:dyDescent="0.4">
      <c r="A165" s="30">
        <f>급여대장!A165</f>
        <v>46143</v>
      </c>
      <c r="B165" s="17">
        <v>14</v>
      </c>
      <c r="C165" s="25" t="str">
        <f>급여대장!D165</f>
        <v>하나로</v>
      </c>
      <c r="D165" s="24" t="str">
        <f>급여대장!E165</f>
        <v>안전/공무</v>
      </c>
      <c r="E165" s="29">
        <f>급여대장!V165</f>
        <v>3478625</v>
      </c>
      <c r="F165" s="26">
        <f>TRUNC(MIN(MAX(E165,요율기준!$B$6),요율기준!$B$5)*요율기준!$B$4,-1)</f>
        <v>156530</v>
      </c>
      <c r="G165" s="26">
        <f t="shared" si="13"/>
        <v>156530</v>
      </c>
      <c r="H165" s="26">
        <f>TRUNC(E165*요율기준!$B$7,-1)</f>
        <v>123310</v>
      </c>
      <c r="I165" s="26">
        <f t="shared" si="14"/>
        <v>123310</v>
      </c>
      <c r="J165" s="26">
        <f>TRUNC(H165*요율기준!$B$8,-1)</f>
        <v>15960</v>
      </c>
      <c r="K165" s="26">
        <f t="shared" si="15"/>
        <v>15960</v>
      </c>
      <c r="L165" s="26">
        <f>TRUNC(E165*요율기준!$B$9,-1)</f>
        <v>31300</v>
      </c>
      <c r="M165" s="26">
        <f>TRUNC(E165*요율기준!$B$10,-1)</f>
        <v>40000</v>
      </c>
      <c r="N165" s="26">
        <f>TRUNC(E165*요율기준!$B$11,-1)</f>
        <v>51130</v>
      </c>
      <c r="O165" s="28">
        <f t="shared" si="16"/>
        <v>327100</v>
      </c>
      <c r="P165" s="28">
        <f t="shared" si="17"/>
        <v>386930</v>
      </c>
      <c r="Q165" s="28">
        <f t="shared" si="18"/>
        <v>714030</v>
      </c>
    </row>
    <row r="166" spans="1:17" x14ac:dyDescent="0.4">
      <c r="A166" s="30">
        <f>급여대장!A166</f>
        <v>46174</v>
      </c>
      <c r="B166" s="17">
        <v>14</v>
      </c>
      <c r="C166" s="25" t="str">
        <f>급여대장!D166</f>
        <v>하나로</v>
      </c>
      <c r="D166" s="24" t="str">
        <f>급여대장!E166</f>
        <v>안전/공무</v>
      </c>
      <c r="E166" s="29">
        <f>급여대장!V166</f>
        <v>3594896</v>
      </c>
      <c r="F166" s="26">
        <f>TRUNC(MIN(MAX(E166,요율기준!$B$6),요율기준!$B$5)*요율기준!$B$4,-1)</f>
        <v>161770</v>
      </c>
      <c r="G166" s="26">
        <f t="shared" si="13"/>
        <v>161770</v>
      </c>
      <c r="H166" s="26">
        <f>TRUNC(E166*요율기준!$B$7,-1)</f>
        <v>127430</v>
      </c>
      <c r="I166" s="26">
        <f t="shared" si="14"/>
        <v>127430</v>
      </c>
      <c r="J166" s="26">
        <f>TRUNC(H166*요율기준!$B$8,-1)</f>
        <v>16500</v>
      </c>
      <c r="K166" s="26">
        <f t="shared" si="15"/>
        <v>16500</v>
      </c>
      <c r="L166" s="26">
        <f>TRUNC(E166*요율기준!$B$9,-1)</f>
        <v>32350</v>
      </c>
      <c r="M166" s="26">
        <f>TRUNC(E166*요율기준!$B$10,-1)</f>
        <v>41340</v>
      </c>
      <c r="N166" s="26">
        <f>TRUNC(E166*요율기준!$B$11,-1)</f>
        <v>52840</v>
      </c>
      <c r="O166" s="28">
        <f t="shared" si="16"/>
        <v>338050</v>
      </c>
      <c r="P166" s="28">
        <f t="shared" si="17"/>
        <v>399880</v>
      </c>
      <c r="Q166" s="28">
        <f t="shared" si="18"/>
        <v>737930</v>
      </c>
    </row>
    <row r="167" spans="1:17" x14ac:dyDescent="0.4">
      <c r="A167" s="30">
        <f>급여대장!A167</f>
        <v>46204</v>
      </c>
      <c r="B167" s="17">
        <v>14</v>
      </c>
      <c r="C167" s="25" t="str">
        <f>급여대장!D167</f>
        <v>하나로</v>
      </c>
      <c r="D167" s="24" t="str">
        <f>급여대장!E167</f>
        <v>안전/공무</v>
      </c>
      <c r="E167" s="29">
        <f>급여대장!V167</f>
        <v>3711167</v>
      </c>
      <c r="F167" s="26">
        <f>TRUNC(MIN(MAX(E167,요율기준!$B$6),요율기준!$B$5)*요율기준!$B$4,-1)</f>
        <v>167000</v>
      </c>
      <c r="G167" s="26">
        <f t="shared" si="13"/>
        <v>167000</v>
      </c>
      <c r="H167" s="26">
        <f>TRUNC(E167*요율기준!$B$7,-1)</f>
        <v>131560</v>
      </c>
      <c r="I167" s="26">
        <f t="shared" si="14"/>
        <v>131560</v>
      </c>
      <c r="J167" s="26">
        <f>TRUNC(H167*요율기준!$B$8,-1)</f>
        <v>17030</v>
      </c>
      <c r="K167" s="26">
        <f t="shared" si="15"/>
        <v>17030</v>
      </c>
      <c r="L167" s="26">
        <f>TRUNC(E167*요율기준!$B$9,-1)</f>
        <v>33400</v>
      </c>
      <c r="M167" s="26">
        <f>TRUNC(E167*요율기준!$B$10,-1)</f>
        <v>42670</v>
      </c>
      <c r="N167" s="26">
        <f>TRUNC(E167*요율기준!$B$11,-1)</f>
        <v>54550</v>
      </c>
      <c r="O167" s="28">
        <f t="shared" si="16"/>
        <v>348990</v>
      </c>
      <c r="P167" s="28">
        <f t="shared" si="17"/>
        <v>412810</v>
      </c>
      <c r="Q167" s="28">
        <f t="shared" si="18"/>
        <v>761800</v>
      </c>
    </row>
    <row r="168" spans="1:17" x14ac:dyDescent="0.4">
      <c r="A168" s="30">
        <f>급여대장!A168</f>
        <v>46235</v>
      </c>
      <c r="B168" s="17">
        <v>14</v>
      </c>
      <c r="C168" s="25" t="str">
        <f>급여대장!D168</f>
        <v>하나로</v>
      </c>
      <c r="D168" s="24" t="str">
        <f>급여대장!E168</f>
        <v>안전/공무</v>
      </c>
      <c r="E168" s="29">
        <f>급여대장!V168</f>
        <v>3265461</v>
      </c>
      <c r="F168" s="26">
        <f>TRUNC(MIN(MAX(E168,요율기준!$B$6),요율기준!$B$5)*요율기준!$B$4,-1)</f>
        <v>146940</v>
      </c>
      <c r="G168" s="26">
        <f t="shared" si="13"/>
        <v>146940</v>
      </c>
      <c r="H168" s="26">
        <f>TRUNC(E168*요율기준!$B$7,-1)</f>
        <v>115760</v>
      </c>
      <c r="I168" s="26">
        <f t="shared" si="14"/>
        <v>115760</v>
      </c>
      <c r="J168" s="26">
        <f>TRUNC(H168*요율기준!$B$8,-1)</f>
        <v>14990</v>
      </c>
      <c r="K168" s="26">
        <f t="shared" si="15"/>
        <v>14990</v>
      </c>
      <c r="L168" s="26">
        <f>TRUNC(E168*요율기준!$B$9,-1)</f>
        <v>29380</v>
      </c>
      <c r="M168" s="26">
        <f>TRUNC(E168*요율기준!$B$10,-1)</f>
        <v>37550</v>
      </c>
      <c r="N168" s="26">
        <f>TRUNC(E168*요율기준!$B$11,-1)</f>
        <v>48000</v>
      </c>
      <c r="O168" s="28">
        <f t="shared" si="16"/>
        <v>307070</v>
      </c>
      <c r="P168" s="28">
        <f t="shared" si="17"/>
        <v>363240</v>
      </c>
      <c r="Q168" s="28">
        <f t="shared" si="18"/>
        <v>670310</v>
      </c>
    </row>
    <row r="169" spans="1:17" x14ac:dyDescent="0.4">
      <c r="A169" s="30">
        <f>급여대장!A169</f>
        <v>46266</v>
      </c>
      <c r="B169" s="17">
        <v>14</v>
      </c>
      <c r="C169" s="25" t="str">
        <f>급여대장!D169</f>
        <v>하나로</v>
      </c>
      <c r="D169" s="24" t="str">
        <f>급여대장!E169</f>
        <v>안전/공무</v>
      </c>
      <c r="E169" s="29">
        <f>급여대장!V169</f>
        <v>3381733</v>
      </c>
      <c r="F169" s="26">
        <f>TRUNC(MIN(MAX(E169,요율기준!$B$6),요율기준!$B$5)*요율기준!$B$4,-1)</f>
        <v>152170</v>
      </c>
      <c r="G169" s="26">
        <f t="shared" si="13"/>
        <v>152170</v>
      </c>
      <c r="H169" s="26">
        <f>TRUNC(E169*요율기준!$B$7,-1)</f>
        <v>119880</v>
      </c>
      <c r="I169" s="26">
        <f t="shared" si="14"/>
        <v>119880</v>
      </c>
      <c r="J169" s="26">
        <f>TRUNC(H169*요율기준!$B$8,-1)</f>
        <v>15520</v>
      </c>
      <c r="K169" s="26">
        <f t="shared" si="15"/>
        <v>15520</v>
      </c>
      <c r="L169" s="26">
        <f>TRUNC(E169*요율기준!$B$9,-1)</f>
        <v>30430</v>
      </c>
      <c r="M169" s="26">
        <f>TRUNC(E169*요율기준!$B$10,-1)</f>
        <v>38880</v>
      </c>
      <c r="N169" s="26">
        <f>TRUNC(E169*요율기준!$B$11,-1)</f>
        <v>49710</v>
      </c>
      <c r="O169" s="28">
        <f t="shared" si="16"/>
        <v>318000</v>
      </c>
      <c r="P169" s="28">
        <f t="shared" si="17"/>
        <v>376160</v>
      </c>
      <c r="Q169" s="28">
        <f t="shared" si="18"/>
        <v>694160</v>
      </c>
    </row>
    <row r="170" spans="1:17" x14ac:dyDescent="0.4">
      <c r="A170" s="30">
        <f>급여대장!A170</f>
        <v>46296</v>
      </c>
      <c r="B170" s="17">
        <v>14</v>
      </c>
      <c r="C170" s="25" t="str">
        <f>급여대장!D170</f>
        <v>하나로</v>
      </c>
      <c r="D170" s="24" t="str">
        <f>급여대장!E170</f>
        <v>안전/공무</v>
      </c>
      <c r="E170" s="29">
        <f>급여대장!V170</f>
        <v>3498003</v>
      </c>
      <c r="F170" s="26">
        <f>TRUNC(MIN(MAX(E170,요율기준!$B$6),요율기준!$B$5)*요율기준!$B$4,-1)</f>
        <v>157410</v>
      </c>
      <c r="G170" s="26">
        <f t="shared" si="13"/>
        <v>157410</v>
      </c>
      <c r="H170" s="26">
        <f>TRUNC(E170*요율기준!$B$7,-1)</f>
        <v>124000</v>
      </c>
      <c r="I170" s="26">
        <f t="shared" si="14"/>
        <v>124000</v>
      </c>
      <c r="J170" s="26">
        <f>TRUNC(H170*요율기준!$B$8,-1)</f>
        <v>16050</v>
      </c>
      <c r="K170" s="26">
        <f t="shared" si="15"/>
        <v>16050</v>
      </c>
      <c r="L170" s="26">
        <f>TRUNC(E170*요율기준!$B$9,-1)</f>
        <v>31480</v>
      </c>
      <c r="M170" s="26">
        <f>TRUNC(E170*요율기준!$B$10,-1)</f>
        <v>40220</v>
      </c>
      <c r="N170" s="26">
        <f>TRUNC(E170*요율기준!$B$11,-1)</f>
        <v>51420</v>
      </c>
      <c r="O170" s="28">
        <f t="shared" si="16"/>
        <v>328940</v>
      </c>
      <c r="P170" s="28">
        <f t="shared" si="17"/>
        <v>389100</v>
      </c>
      <c r="Q170" s="28">
        <f t="shared" si="18"/>
        <v>718040</v>
      </c>
    </row>
    <row r="171" spans="1:17" x14ac:dyDescent="0.4">
      <c r="A171" s="30">
        <f>급여대장!A171</f>
        <v>46327</v>
      </c>
      <c r="B171" s="17">
        <v>14</v>
      </c>
      <c r="C171" s="25" t="str">
        <f>급여대장!D171</f>
        <v>하나로</v>
      </c>
      <c r="D171" s="24" t="str">
        <f>급여대장!E171</f>
        <v>안전/공무</v>
      </c>
      <c r="E171" s="29">
        <f>급여대장!V171</f>
        <v>3614275</v>
      </c>
      <c r="F171" s="26">
        <f>TRUNC(MIN(MAX(E171,요율기준!$B$6),요율기준!$B$5)*요율기준!$B$4,-1)</f>
        <v>162640</v>
      </c>
      <c r="G171" s="26">
        <f t="shared" si="13"/>
        <v>162640</v>
      </c>
      <c r="H171" s="26">
        <f>TRUNC(E171*요율기준!$B$7,-1)</f>
        <v>128120</v>
      </c>
      <c r="I171" s="26">
        <f t="shared" si="14"/>
        <v>128120</v>
      </c>
      <c r="J171" s="26">
        <f>TRUNC(H171*요율기준!$B$8,-1)</f>
        <v>16590</v>
      </c>
      <c r="K171" s="26">
        <f t="shared" si="15"/>
        <v>16590</v>
      </c>
      <c r="L171" s="26">
        <f>TRUNC(E171*요율기준!$B$9,-1)</f>
        <v>32520</v>
      </c>
      <c r="M171" s="26">
        <f>TRUNC(E171*요율기준!$B$10,-1)</f>
        <v>41560</v>
      </c>
      <c r="N171" s="26">
        <f>TRUNC(E171*요율기준!$B$11,-1)</f>
        <v>53120</v>
      </c>
      <c r="O171" s="28">
        <f t="shared" si="16"/>
        <v>339870</v>
      </c>
      <c r="P171" s="28">
        <f t="shared" si="17"/>
        <v>402030</v>
      </c>
      <c r="Q171" s="28">
        <f t="shared" si="18"/>
        <v>741900</v>
      </c>
    </row>
    <row r="172" spans="1:17" x14ac:dyDescent="0.4">
      <c r="A172" s="30">
        <f>급여대장!A172</f>
        <v>46357</v>
      </c>
      <c r="B172" s="17">
        <v>14</v>
      </c>
      <c r="C172" s="25" t="str">
        <f>급여대장!D172</f>
        <v>하나로</v>
      </c>
      <c r="D172" s="24" t="str">
        <f>급여대장!E172</f>
        <v>안전/공무</v>
      </c>
      <c r="E172" s="29">
        <f>급여대장!V172</f>
        <v>3653031</v>
      </c>
      <c r="F172" s="26">
        <f>TRUNC(MIN(MAX(E172,요율기준!$B$6),요율기준!$B$5)*요율기준!$B$4,-1)</f>
        <v>164380</v>
      </c>
      <c r="G172" s="26">
        <f t="shared" si="13"/>
        <v>164380</v>
      </c>
      <c r="H172" s="26">
        <f>TRUNC(E172*요율기준!$B$7,-1)</f>
        <v>129490</v>
      </c>
      <c r="I172" s="26">
        <f t="shared" si="14"/>
        <v>129490</v>
      </c>
      <c r="J172" s="26">
        <f>TRUNC(H172*요율기준!$B$8,-1)</f>
        <v>16760</v>
      </c>
      <c r="K172" s="26">
        <f t="shared" si="15"/>
        <v>16760</v>
      </c>
      <c r="L172" s="26">
        <f>TRUNC(E172*요율기준!$B$9,-1)</f>
        <v>32870</v>
      </c>
      <c r="M172" s="26">
        <f>TRUNC(E172*요율기준!$B$10,-1)</f>
        <v>42000</v>
      </c>
      <c r="N172" s="26">
        <f>TRUNC(E172*요율기준!$B$11,-1)</f>
        <v>53690</v>
      </c>
      <c r="O172" s="28">
        <f t="shared" si="16"/>
        <v>343500</v>
      </c>
      <c r="P172" s="28">
        <f t="shared" si="17"/>
        <v>406320</v>
      </c>
      <c r="Q172" s="28">
        <f t="shared" si="18"/>
        <v>749820</v>
      </c>
    </row>
    <row r="173" spans="1:17" x14ac:dyDescent="0.4">
      <c r="A173" s="30">
        <f>급여대장!A173</f>
        <v>46023</v>
      </c>
      <c r="B173" s="17">
        <v>15</v>
      </c>
      <c r="C173" s="25" t="str">
        <f>급여대장!D173</f>
        <v>한결이</v>
      </c>
      <c r="D173" s="24" t="str">
        <f>급여대장!E173</f>
        <v>공사사업부</v>
      </c>
      <c r="E173" s="29">
        <f>급여대장!V173</f>
        <v>4402584</v>
      </c>
      <c r="F173" s="26">
        <f>TRUNC(MIN(MAX(E173,요율기준!$B$6),요율기준!$B$5)*요율기준!$B$4,-1)</f>
        <v>198110</v>
      </c>
      <c r="G173" s="26">
        <f t="shared" si="13"/>
        <v>198110</v>
      </c>
      <c r="H173" s="26">
        <f>TRUNC(E173*요율기준!$B$7,-1)</f>
        <v>156070</v>
      </c>
      <c r="I173" s="26">
        <f t="shared" si="14"/>
        <v>156070</v>
      </c>
      <c r="J173" s="26">
        <f>TRUNC(H173*요율기준!$B$8,-1)</f>
        <v>20210</v>
      </c>
      <c r="K173" s="26">
        <f t="shared" si="15"/>
        <v>20210</v>
      </c>
      <c r="L173" s="26">
        <f>TRUNC(E173*요율기준!$B$9,-1)</f>
        <v>39620</v>
      </c>
      <c r="M173" s="26">
        <f>TRUNC(E173*요율기준!$B$10,-1)</f>
        <v>50620</v>
      </c>
      <c r="N173" s="26">
        <f>TRUNC(E173*요율기준!$B$11,-1)</f>
        <v>64710</v>
      </c>
      <c r="O173" s="28">
        <f t="shared" si="16"/>
        <v>414010</v>
      </c>
      <c r="P173" s="28">
        <f t="shared" si="17"/>
        <v>489720</v>
      </c>
      <c r="Q173" s="28">
        <f t="shared" si="18"/>
        <v>903730</v>
      </c>
    </row>
    <row r="174" spans="1:17" x14ac:dyDescent="0.4">
      <c r="A174" s="30">
        <f>급여대장!A174</f>
        <v>46054</v>
      </c>
      <c r="B174" s="17">
        <v>15</v>
      </c>
      <c r="C174" s="25" t="str">
        <f>급여대장!D174</f>
        <v>한결이</v>
      </c>
      <c r="D174" s="24" t="str">
        <f>급여대장!E174</f>
        <v>공사사업부</v>
      </c>
      <c r="E174" s="29">
        <f>급여대장!V174</f>
        <v>3966220</v>
      </c>
      <c r="F174" s="26">
        <f>TRUNC(MIN(MAX(E174,요율기준!$B$6),요율기준!$B$5)*요율기준!$B$4,-1)</f>
        <v>178470</v>
      </c>
      <c r="G174" s="26">
        <f t="shared" si="13"/>
        <v>178470</v>
      </c>
      <c r="H174" s="26">
        <f>TRUNC(E174*요율기준!$B$7,-1)</f>
        <v>140600</v>
      </c>
      <c r="I174" s="26">
        <f t="shared" si="14"/>
        <v>140600</v>
      </c>
      <c r="J174" s="26">
        <f>TRUNC(H174*요율기준!$B$8,-1)</f>
        <v>18200</v>
      </c>
      <c r="K174" s="26">
        <f t="shared" si="15"/>
        <v>18200</v>
      </c>
      <c r="L174" s="26">
        <f>TRUNC(E174*요율기준!$B$9,-1)</f>
        <v>35690</v>
      </c>
      <c r="M174" s="26">
        <f>TRUNC(E174*요율기준!$B$10,-1)</f>
        <v>45610</v>
      </c>
      <c r="N174" s="26">
        <f>TRUNC(E174*요율기준!$B$11,-1)</f>
        <v>58300</v>
      </c>
      <c r="O174" s="28">
        <f t="shared" si="16"/>
        <v>372960</v>
      </c>
      <c r="P174" s="28">
        <f t="shared" si="17"/>
        <v>441180</v>
      </c>
      <c r="Q174" s="28">
        <f t="shared" si="18"/>
        <v>814140</v>
      </c>
    </row>
    <row r="175" spans="1:17" x14ac:dyDescent="0.4">
      <c r="A175" s="30">
        <f>급여대장!A175</f>
        <v>46082</v>
      </c>
      <c r="B175" s="17">
        <v>15</v>
      </c>
      <c r="C175" s="25" t="str">
        <f>급여대장!D175</f>
        <v>한결이</v>
      </c>
      <c r="D175" s="24" t="str">
        <f>급여대장!E175</f>
        <v>공사사업부</v>
      </c>
      <c r="E175" s="29">
        <f>급여대장!V175</f>
        <v>4012154</v>
      </c>
      <c r="F175" s="26">
        <f>TRUNC(MIN(MAX(E175,요율기준!$B$6),요율기준!$B$5)*요율기준!$B$4,-1)</f>
        <v>180540</v>
      </c>
      <c r="G175" s="26">
        <f t="shared" si="13"/>
        <v>180540</v>
      </c>
      <c r="H175" s="26">
        <f>TRUNC(E175*요율기준!$B$7,-1)</f>
        <v>142230</v>
      </c>
      <c r="I175" s="26">
        <f t="shared" si="14"/>
        <v>142230</v>
      </c>
      <c r="J175" s="26">
        <f>TRUNC(H175*요율기준!$B$8,-1)</f>
        <v>18410</v>
      </c>
      <c r="K175" s="26">
        <f t="shared" si="15"/>
        <v>18410</v>
      </c>
      <c r="L175" s="26">
        <f>TRUNC(E175*요율기준!$B$9,-1)</f>
        <v>36100</v>
      </c>
      <c r="M175" s="26">
        <f>TRUNC(E175*요율기준!$B$10,-1)</f>
        <v>46130</v>
      </c>
      <c r="N175" s="26">
        <f>TRUNC(E175*요율기준!$B$11,-1)</f>
        <v>58970</v>
      </c>
      <c r="O175" s="28">
        <f t="shared" si="16"/>
        <v>377280</v>
      </c>
      <c r="P175" s="28">
        <f t="shared" si="17"/>
        <v>446280</v>
      </c>
      <c r="Q175" s="28">
        <f t="shared" si="18"/>
        <v>823560</v>
      </c>
    </row>
    <row r="176" spans="1:17" x14ac:dyDescent="0.4">
      <c r="A176" s="30">
        <f>급여대장!A176</f>
        <v>46113</v>
      </c>
      <c r="B176" s="17">
        <v>15</v>
      </c>
      <c r="C176" s="25" t="str">
        <f>급여대장!D176</f>
        <v>한결이</v>
      </c>
      <c r="D176" s="24" t="str">
        <f>급여대장!E176</f>
        <v>공사사업부</v>
      </c>
      <c r="E176" s="29">
        <f>급여대장!V176</f>
        <v>4149952</v>
      </c>
      <c r="F176" s="26">
        <f>TRUNC(MIN(MAX(E176,요율기준!$B$6),요율기준!$B$5)*요율기준!$B$4,-1)</f>
        <v>186740</v>
      </c>
      <c r="G176" s="26">
        <f t="shared" si="13"/>
        <v>186740</v>
      </c>
      <c r="H176" s="26">
        <f>TRUNC(E176*요율기준!$B$7,-1)</f>
        <v>147110</v>
      </c>
      <c r="I176" s="26">
        <f t="shared" si="14"/>
        <v>147110</v>
      </c>
      <c r="J176" s="26">
        <f>TRUNC(H176*요율기준!$B$8,-1)</f>
        <v>19050</v>
      </c>
      <c r="K176" s="26">
        <f t="shared" si="15"/>
        <v>19050</v>
      </c>
      <c r="L176" s="26">
        <f>TRUNC(E176*요율기준!$B$9,-1)</f>
        <v>37340</v>
      </c>
      <c r="M176" s="26">
        <f>TRUNC(E176*요율기준!$B$10,-1)</f>
        <v>47720</v>
      </c>
      <c r="N176" s="26">
        <f>TRUNC(E176*요율기준!$B$11,-1)</f>
        <v>61000</v>
      </c>
      <c r="O176" s="28">
        <f t="shared" si="16"/>
        <v>390240</v>
      </c>
      <c r="P176" s="28">
        <f t="shared" si="17"/>
        <v>461620</v>
      </c>
      <c r="Q176" s="28">
        <f t="shared" si="18"/>
        <v>851860</v>
      </c>
    </row>
    <row r="177" spans="1:17" x14ac:dyDescent="0.4">
      <c r="A177" s="30">
        <f>급여대장!A177</f>
        <v>46143</v>
      </c>
      <c r="B177" s="17">
        <v>15</v>
      </c>
      <c r="C177" s="25" t="str">
        <f>급여대장!D177</f>
        <v>한결이</v>
      </c>
      <c r="D177" s="24" t="str">
        <f>급여대장!E177</f>
        <v>공사사업부</v>
      </c>
      <c r="E177" s="29">
        <f>급여대장!V177</f>
        <v>4287752</v>
      </c>
      <c r="F177" s="26">
        <f>TRUNC(MIN(MAX(E177,요율기준!$B$6),요율기준!$B$5)*요율기준!$B$4,-1)</f>
        <v>192940</v>
      </c>
      <c r="G177" s="26">
        <f t="shared" si="13"/>
        <v>192940</v>
      </c>
      <c r="H177" s="26">
        <f>TRUNC(E177*요율기준!$B$7,-1)</f>
        <v>152000</v>
      </c>
      <c r="I177" s="26">
        <f t="shared" si="14"/>
        <v>152000</v>
      </c>
      <c r="J177" s="26">
        <f>TRUNC(H177*요율기준!$B$8,-1)</f>
        <v>19680</v>
      </c>
      <c r="K177" s="26">
        <f t="shared" si="15"/>
        <v>19680</v>
      </c>
      <c r="L177" s="26">
        <f>TRUNC(E177*요율기준!$B$9,-1)</f>
        <v>38580</v>
      </c>
      <c r="M177" s="26">
        <f>TRUNC(E177*요율기준!$B$10,-1)</f>
        <v>49300</v>
      </c>
      <c r="N177" s="26">
        <f>TRUNC(E177*요율기준!$B$11,-1)</f>
        <v>63020</v>
      </c>
      <c r="O177" s="28">
        <f t="shared" si="16"/>
        <v>403200</v>
      </c>
      <c r="P177" s="28">
        <f t="shared" si="17"/>
        <v>476940</v>
      </c>
      <c r="Q177" s="28">
        <f t="shared" si="18"/>
        <v>880140</v>
      </c>
    </row>
    <row r="178" spans="1:17" x14ac:dyDescent="0.4">
      <c r="A178" s="30">
        <f>급여대장!A178</f>
        <v>46174</v>
      </c>
      <c r="B178" s="17">
        <v>15</v>
      </c>
      <c r="C178" s="25" t="str">
        <f>급여대장!D178</f>
        <v>한결이</v>
      </c>
      <c r="D178" s="24" t="str">
        <f>급여대장!E178</f>
        <v>공사사업부</v>
      </c>
      <c r="E178" s="29">
        <f>급여대장!V178</f>
        <v>4425550</v>
      </c>
      <c r="F178" s="26">
        <f>TRUNC(MIN(MAX(E178,요율기준!$B$6),요율기준!$B$5)*요율기준!$B$4,-1)</f>
        <v>199140</v>
      </c>
      <c r="G178" s="26">
        <f t="shared" si="13"/>
        <v>199140</v>
      </c>
      <c r="H178" s="26">
        <f>TRUNC(E178*요율기준!$B$7,-1)</f>
        <v>156880</v>
      </c>
      <c r="I178" s="26">
        <f t="shared" si="14"/>
        <v>156880</v>
      </c>
      <c r="J178" s="26">
        <f>TRUNC(H178*요율기준!$B$8,-1)</f>
        <v>20310</v>
      </c>
      <c r="K178" s="26">
        <f t="shared" si="15"/>
        <v>20310</v>
      </c>
      <c r="L178" s="26">
        <f>TRUNC(E178*요율기준!$B$9,-1)</f>
        <v>39820</v>
      </c>
      <c r="M178" s="26">
        <f>TRUNC(E178*요율기준!$B$10,-1)</f>
        <v>50890</v>
      </c>
      <c r="N178" s="26">
        <f>TRUNC(E178*요율기준!$B$11,-1)</f>
        <v>65050</v>
      </c>
      <c r="O178" s="28">
        <f t="shared" si="16"/>
        <v>416150</v>
      </c>
      <c r="P178" s="28">
        <f t="shared" si="17"/>
        <v>492270</v>
      </c>
      <c r="Q178" s="28">
        <f t="shared" si="18"/>
        <v>908420</v>
      </c>
    </row>
    <row r="179" spans="1:17" x14ac:dyDescent="0.4">
      <c r="A179" s="30">
        <f>급여대장!A179</f>
        <v>46204</v>
      </c>
      <c r="B179" s="17">
        <v>15</v>
      </c>
      <c r="C179" s="25" t="str">
        <f>급여대장!D179</f>
        <v>한결이</v>
      </c>
      <c r="D179" s="24" t="str">
        <f>급여대장!E179</f>
        <v>공사사업부</v>
      </c>
      <c r="E179" s="29">
        <f>급여대장!V179</f>
        <v>3897321</v>
      </c>
      <c r="F179" s="26">
        <f>TRUNC(MIN(MAX(E179,요율기준!$B$6),요율기준!$B$5)*요율기준!$B$4,-1)</f>
        <v>175370</v>
      </c>
      <c r="G179" s="26">
        <f t="shared" si="13"/>
        <v>175370</v>
      </c>
      <c r="H179" s="26">
        <f>TRUNC(E179*요율기준!$B$7,-1)</f>
        <v>138160</v>
      </c>
      <c r="I179" s="26">
        <f t="shared" si="14"/>
        <v>138160</v>
      </c>
      <c r="J179" s="26">
        <f>TRUNC(H179*요율기준!$B$8,-1)</f>
        <v>17890</v>
      </c>
      <c r="K179" s="26">
        <f t="shared" si="15"/>
        <v>17890</v>
      </c>
      <c r="L179" s="26">
        <f>TRUNC(E179*요율기준!$B$9,-1)</f>
        <v>35070</v>
      </c>
      <c r="M179" s="26">
        <f>TRUNC(E179*요율기준!$B$10,-1)</f>
        <v>44810</v>
      </c>
      <c r="N179" s="26">
        <f>TRUNC(E179*요율기준!$B$11,-1)</f>
        <v>57290</v>
      </c>
      <c r="O179" s="28">
        <f t="shared" si="16"/>
        <v>366490</v>
      </c>
      <c r="P179" s="28">
        <f t="shared" si="17"/>
        <v>433520</v>
      </c>
      <c r="Q179" s="28">
        <f t="shared" si="18"/>
        <v>800010</v>
      </c>
    </row>
    <row r="180" spans="1:17" x14ac:dyDescent="0.4">
      <c r="A180" s="30">
        <f>급여대장!A180</f>
        <v>46235</v>
      </c>
      <c r="B180" s="17">
        <v>15</v>
      </c>
      <c r="C180" s="25" t="str">
        <f>급여대장!D180</f>
        <v>한결이</v>
      </c>
      <c r="D180" s="24" t="str">
        <f>급여대장!E180</f>
        <v>공사사업부</v>
      </c>
      <c r="E180" s="29">
        <f>급여대장!V180</f>
        <v>4035120</v>
      </c>
      <c r="F180" s="26">
        <f>TRUNC(MIN(MAX(E180,요율기준!$B$6),요율기준!$B$5)*요율기준!$B$4,-1)</f>
        <v>181580</v>
      </c>
      <c r="G180" s="26">
        <f t="shared" si="13"/>
        <v>181580</v>
      </c>
      <c r="H180" s="26">
        <f>TRUNC(E180*요율기준!$B$7,-1)</f>
        <v>143040</v>
      </c>
      <c r="I180" s="26">
        <f t="shared" si="14"/>
        <v>143040</v>
      </c>
      <c r="J180" s="26">
        <f>TRUNC(H180*요율기준!$B$8,-1)</f>
        <v>18520</v>
      </c>
      <c r="K180" s="26">
        <f t="shared" si="15"/>
        <v>18520</v>
      </c>
      <c r="L180" s="26">
        <f>TRUNC(E180*요율기준!$B$9,-1)</f>
        <v>36310</v>
      </c>
      <c r="M180" s="26">
        <f>TRUNC(E180*요율기준!$B$10,-1)</f>
        <v>46400</v>
      </c>
      <c r="N180" s="26">
        <f>TRUNC(E180*요율기준!$B$11,-1)</f>
        <v>59310</v>
      </c>
      <c r="O180" s="28">
        <f t="shared" si="16"/>
        <v>379450</v>
      </c>
      <c r="P180" s="28">
        <f t="shared" si="17"/>
        <v>448850</v>
      </c>
      <c r="Q180" s="28">
        <f t="shared" si="18"/>
        <v>828300</v>
      </c>
    </row>
    <row r="181" spans="1:17" x14ac:dyDescent="0.4">
      <c r="A181" s="30">
        <f>급여대장!A181</f>
        <v>46266</v>
      </c>
      <c r="B181" s="17">
        <v>15</v>
      </c>
      <c r="C181" s="25" t="str">
        <f>급여대장!D181</f>
        <v>한결이</v>
      </c>
      <c r="D181" s="24" t="str">
        <f>급여대장!E181</f>
        <v>공사사업부</v>
      </c>
      <c r="E181" s="29">
        <f>급여대장!V181</f>
        <v>4172919</v>
      </c>
      <c r="F181" s="26">
        <f>TRUNC(MIN(MAX(E181,요율기준!$B$6),요율기준!$B$5)*요율기준!$B$4,-1)</f>
        <v>187780</v>
      </c>
      <c r="G181" s="26">
        <f t="shared" si="13"/>
        <v>187780</v>
      </c>
      <c r="H181" s="26">
        <f>TRUNC(E181*요율기준!$B$7,-1)</f>
        <v>147920</v>
      </c>
      <c r="I181" s="26">
        <f t="shared" si="14"/>
        <v>147920</v>
      </c>
      <c r="J181" s="26">
        <f>TRUNC(H181*요율기준!$B$8,-1)</f>
        <v>19150</v>
      </c>
      <c r="K181" s="26">
        <f t="shared" si="15"/>
        <v>19150</v>
      </c>
      <c r="L181" s="26">
        <f>TRUNC(E181*요율기준!$B$9,-1)</f>
        <v>37550</v>
      </c>
      <c r="M181" s="26">
        <f>TRUNC(E181*요율기준!$B$10,-1)</f>
        <v>47980</v>
      </c>
      <c r="N181" s="26">
        <f>TRUNC(E181*요율기준!$B$11,-1)</f>
        <v>61340</v>
      </c>
      <c r="O181" s="28">
        <f t="shared" si="16"/>
        <v>392400</v>
      </c>
      <c r="P181" s="28">
        <f t="shared" si="17"/>
        <v>464170</v>
      </c>
      <c r="Q181" s="28">
        <f t="shared" si="18"/>
        <v>856570</v>
      </c>
    </row>
    <row r="182" spans="1:17" x14ac:dyDescent="0.4">
      <c r="A182" s="30">
        <f>급여대장!A182</f>
        <v>46296</v>
      </c>
      <c r="B182" s="17">
        <v>15</v>
      </c>
      <c r="C182" s="25" t="str">
        <f>급여대장!D182</f>
        <v>한결이</v>
      </c>
      <c r="D182" s="24" t="str">
        <f>급여대장!E182</f>
        <v>공사사업부</v>
      </c>
      <c r="E182" s="29">
        <f>급여대장!V182</f>
        <v>4310718</v>
      </c>
      <c r="F182" s="26">
        <f>TRUNC(MIN(MAX(E182,요율기준!$B$6),요율기준!$B$5)*요율기준!$B$4,-1)</f>
        <v>193980</v>
      </c>
      <c r="G182" s="26">
        <f t="shared" si="13"/>
        <v>193980</v>
      </c>
      <c r="H182" s="26">
        <f>TRUNC(E182*요율기준!$B$7,-1)</f>
        <v>152810</v>
      </c>
      <c r="I182" s="26">
        <f t="shared" si="14"/>
        <v>152810</v>
      </c>
      <c r="J182" s="26">
        <f>TRUNC(H182*요율기준!$B$8,-1)</f>
        <v>19780</v>
      </c>
      <c r="K182" s="26">
        <f t="shared" si="15"/>
        <v>19780</v>
      </c>
      <c r="L182" s="26">
        <f>TRUNC(E182*요율기준!$B$9,-1)</f>
        <v>38790</v>
      </c>
      <c r="M182" s="26">
        <f>TRUNC(E182*요율기준!$B$10,-1)</f>
        <v>49570</v>
      </c>
      <c r="N182" s="26">
        <f>TRUNC(E182*요율기준!$B$11,-1)</f>
        <v>63360</v>
      </c>
      <c r="O182" s="28">
        <f t="shared" si="16"/>
        <v>405360</v>
      </c>
      <c r="P182" s="28">
        <f t="shared" si="17"/>
        <v>479500</v>
      </c>
      <c r="Q182" s="28">
        <f t="shared" si="18"/>
        <v>884860</v>
      </c>
    </row>
    <row r="183" spans="1:17" x14ac:dyDescent="0.4">
      <c r="A183" s="30">
        <f>급여대장!A183</f>
        <v>46327</v>
      </c>
      <c r="B183" s="17">
        <v>15</v>
      </c>
      <c r="C183" s="25" t="str">
        <f>급여대장!D183</f>
        <v>한결이</v>
      </c>
      <c r="D183" s="24" t="str">
        <f>급여대장!E183</f>
        <v>공사사업부</v>
      </c>
      <c r="E183" s="29">
        <f>급여대장!V183</f>
        <v>4356651</v>
      </c>
      <c r="F183" s="26">
        <f>TRUNC(MIN(MAX(E183,요율기준!$B$6),요율기준!$B$5)*요율기준!$B$4,-1)</f>
        <v>196040</v>
      </c>
      <c r="G183" s="26">
        <f t="shared" si="13"/>
        <v>196040</v>
      </c>
      <c r="H183" s="26">
        <f>TRUNC(E183*요율기준!$B$7,-1)</f>
        <v>154440</v>
      </c>
      <c r="I183" s="26">
        <f t="shared" si="14"/>
        <v>154440</v>
      </c>
      <c r="J183" s="26">
        <f>TRUNC(H183*요율기준!$B$8,-1)</f>
        <v>19990</v>
      </c>
      <c r="K183" s="26">
        <f t="shared" si="15"/>
        <v>19990</v>
      </c>
      <c r="L183" s="26">
        <f>TRUNC(E183*요율기준!$B$9,-1)</f>
        <v>39200</v>
      </c>
      <c r="M183" s="26">
        <f>TRUNC(E183*요율기준!$B$10,-1)</f>
        <v>50100</v>
      </c>
      <c r="N183" s="26">
        <f>TRUNC(E183*요율기준!$B$11,-1)</f>
        <v>64040</v>
      </c>
      <c r="O183" s="28">
        <f t="shared" si="16"/>
        <v>409670</v>
      </c>
      <c r="P183" s="28">
        <f t="shared" si="17"/>
        <v>484610</v>
      </c>
      <c r="Q183" s="28">
        <f t="shared" si="18"/>
        <v>894280</v>
      </c>
    </row>
    <row r="184" spans="1:17" x14ac:dyDescent="0.4">
      <c r="A184" s="30">
        <f>급여대장!A184</f>
        <v>46357</v>
      </c>
      <c r="B184" s="17">
        <v>15</v>
      </c>
      <c r="C184" s="25" t="str">
        <f>급여대장!D184</f>
        <v>한결이</v>
      </c>
      <c r="D184" s="24" t="str">
        <f>급여대장!E184</f>
        <v>공사사업부</v>
      </c>
      <c r="E184" s="29">
        <f>급여대장!V184</f>
        <v>3920287</v>
      </c>
      <c r="F184" s="26">
        <f>TRUNC(MIN(MAX(E184,요율기준!$B$6),요율기준!$B$5)*요율기준!$B$4,-1)</f>
        <v>176410</v>
      </c>
      <c r="G184" s="26">
        <f t="shared" si="13"/>
        <v>176410</v>
      </c>
      <c r="H184" s="26">
        <f>TRUNC(E184*요율기준!$B$7,-1)</f>
        <v>138970</v>
      </c>
      <c r="I184" s="26">
        <f t="shared" si="14"/>
        <v>138970</v>
      </c>
      <c r="J184" s="26">
        <f>TRUNC(H184*요율기준!$B$8,-1)</f>
        <v>17990</v>
      </c>
      <c r="K184" s="26">
        <f t="shared" si="15"/>
        <v>17990</v>
      </c>
      <c r="L184" s="26">
        <f>TRUNC(E184*요율기준!$B$9,-1)</f>
        <v>35280</v>
      </c>
      <c r="M184" s="26">
        <f>TRUNC(E184*요율기준!$B$10,-1)</f>
        <v>45080</v>
      </c>
      <c r="N184" s="26">
        <f>TRUNC(E184*요율기준!$B$11,-1)</f>
        <v>57620</v>
      </c>
      <c r="O184" s="28">
        <f t="shared" si="16"/>
        <v>368650</v>
      </c>
      <c r="P184" s="28">
        <f t="shared" si="17"/>
        <v>436070</v>
      </c>
      <c r="Q184" s="28">
        <f t="shared" si="18"/>
        <v>804720</v>
      </c>
    </row>
    <row r="185" spans="1:17" x14ac:dyDescent="0.4">
      <c r="A185" s="30">
        <f>급여대장!A185</f>
        <v>46023</v>
      </c>
      <c r="B185" s="17">
        <v>16</v>
      </c>
      <c r="C185" s="25" t="str">
        <f>급여대장!D185</f>
        <v>슬기론</v>
      </c>
      <c r="D185" s="24" t="str">
        <f>급여대장!E185</f>
        <v>공사사업부</v>
      </c>
      <c r="E185" s="29">
        <f>급여대장!V185</f>
        <v>3912632</v>
      </c>
      <c r="F185" s="26">
        <f>TRUNC(MIN(MAX(E185,요율기준!$B$6),요율기준!$B$5)*요율기준!$B$4,-1)</f>
        <v>176060</v>
      </c>
      <c r="G185" s="26">
        <f t="shared" si="13"/>
        <v>176060</v>
      </c>
      <c r="H185" s="26">
        <f>TRUNC(E185*요율기준!$B$7,-1)</f>
        <v>138700</v>
      </c>
      <c r="I185" s="26">
        <f t="shared" si="14"/>
        <v>138700</v>
      </c>
      <c r="J185" s="26">
        <f>TRUNC(H185*요율기준!$B$8,-1)</f>
        <v>17960</v>
      </c>
      <c r="K185" s="26">
        <f t="shared" si="15"/>
        <v>17960</v>
      </c>
      <c r="L185" s="26">
        <f>TRUNC(E185*요율기준!$B$9,-1)</f>
        <v>35210</v>
      </c>
      <c r="M185" s="26">
        <f>TRUNC(E185*요율기준!$B$10,-1)</f>
        <v>44990</v>
      </c>
      <c r="N185" s="26">
        <f>TRUNC(E185*요율기준!$B$11,-1)</f>
        <v>57510</v>
      </c>
      <c r="O185" s="28">
        <f t="shared" si="16"/>
        <v>367930</v>
      </c>
      <c r="P185" s="28">
        <f t="shared" si="17"/>
        <v>435220</v>
      </c>
      <c r="Q185" s="28">
        <f t="shared" si="18"/>
        <v>803150</v>
      </c>
    </row>
    <row r="186" spans="1:17" x14ac:dyDescent="0.4">
      <c r="A186" s="30">
        <f>급여대장!A186</f>
        <v>46054</v>
      </c>
      <c r="B186" s="17">
        <v>16</v>
      </c>
      <c r="C186" s="25" t="str">
        <f>급여대장!D186</f>
        <v>슬기론</v>
      </c>
      <c r="D186" s="24" t="str">
        <f>급여대장!E186</f>
        <v>공사사업부</v>
      </c>
      <c r="E186" s="29">
        <f>급여대장!V186</f>
        <v>3958565</v>
      </c>
      <c r="F186" s="26">
        <f>TRUNC(MIN(MAX(E186,요율기준!$B$6),요율기준!$B$5)*요율기준!$B$4,-1)</f>
        <v>178130</v>
      </c>
      <c r="G186" s="26">
        <f t="shared" si="13"/>
        <v>178130</v>
      </c>
      <c r="H186" s="26">
        <f>TRUNC(E186*요율기준!$B$7,-1)</f>
        <v>140330</v>
      </c>
      <c r="I186" s="26">
        <f t="shared" si="14"/>
        <v>140330</v>
      </c>
      <c r="J186" s="26">
        <f>TRUNC(H186*요율기준!$B$8,-1)</f>
        <v>18170</v>
      </c>
      <c r="K186" s="26">
        <f t="shared" si="15"/>
        <v>18170</v>
      </c>
      <c r="L186" s="26">
        <f>TRUNC(E186*요율기준!$B$9,-1)</f>
        <v>35620</v>
      </c>
      <c r="M186" s="26">
        <f>TRUNC(E186*요율기준!$B$10,-1)</f>
        <v>45520</v>
      </c>
      <c r="N186" s="26">
        <f>TRUNC(E186*요율기준!$B$11,-1)</f>
        <v>58190</v>
      </c>
      <c r="O186" s="28">
        <f t="shared" si="16"/>
        <v>372250</v>
      </c>
      <c r="P186" s="28">
        <f t="shared" si="17"/>
        <v>440340</v>
      </c>
      <c r="Q186" s="28">
        <f t="shared" si="18"/>
        <v>812590</v>
      </c>
    </row>
    <row r="187" spans="1:17" x14ac:dyDescent="0.4">
      <c r="A187" s="30">
        <f>급여대장!A187</f>
        <v>46082</v>
      </c>
      <c r="B187" s="17">
        <v>16</v>
      </c>
      <c r="C187" s="25" t="str">
        <f>급여대장!D187</f>
        <v>슬기론</v>
      </c>
      <c r="D187" s="24" t="str">
        <f>급여대장!E187</f>
        <v>공사사업부</v>
      </c>
      <c r="E187" s="29">
        <f>급여대장!V187</f>
        <v>4096364</v>
      </c>
      <c r="F187" s="26">
        <f>TRUNC(MIN(MAX(E187,요율기준!$B$6),요율기준!$B$5)*요율기준!$B$4,-1)</f>
        <v>184330</v>
      </c>
      <c r="G187" s="26">
        <f t="shared" si="13"/>
        <v>184330</v>
      </c>
      <c r="H187" s="26">
        <f>TRUNC(E187*요율기준!$B$7,-1)</f>
        <v>145210</v>
      </c>
      <c r="I187" s="26">
        <f t="shared" si="14"/>
        <v>145210</v>
      </c>
      <c r="J187" s="26">
        <f>TRUNC(H187*요율기준!$B$8,-1)</f>
        <v>18800</v>
      </c>
      <c r="K187" s="26">
        <f t="shared" si="15"/>
        <v>18800</v>
      </c>
      <c r="L187" s="26">
        <f>TRUNC(E187*요율기준!$B$9,-1)</f>
        <v>36860</v>
      </c>
      <c r="M187" s="26">
        <f>TRUNC(E187*요율기준!$B$10,-1)</f>
        <v>47100</v>
      </c>
      <c r="N187" s="26">
        <f>TRUNC(E187*요율기준!$B$11,-1)</f>
        <v>60210</v>
      </c>
      <c r="O187" s="28">
        <f t="shared" si="16"/>
        <v>385200</v>
      </c>
      <c r="P187" s="28">
        <f t="shared" si="17"/>
        <v>455650</v>
      </c>
      <c r="Q187" s="28">
        <f t="shared" si="18"/>
        <v>840850</v>
      </c>
    </row>
    <row r="188" spans="1:17" x14ac:dyDescent="0.4">
      <c r="A188" s="30">
        <f>급여대장!A188</f>
        <v>46113</v>
      </c>
      <c r="B188" s="17">
        <v>16</v>
      </c>
      <c r="C188" s="25" t="str">
        <f>급여대장!D188</f>
        <v>슬기론</v>
      </c>
      <c r="D188" s="24" t="str">
        <f>급여대장!E188</f>
        <v>공사사업부</v>
      </c>
      <c r="E188" s="29">
        <f>급여대장!V188</f>
        <v>4234163</v>
      </c>
      <c r="F188" s="26">
        <f>TRUNC(MIN(MAX(E188,요율기준!$B$6),요율기준!$B$5)*요율기준!$B$4,-1)</f>
        <v>190530</v>
      </c>
      <c r="G188" s="26">
        <f t="shared" si="13"/>
        <v>190530</v>
      </c>
      <c r="H188" s="26">
        <f>TRUNC(E188*요율기준!$B$7,-1)</f>
        <v>150100</v>
      </c>
      <c r="I188" s="26">
        <f t="shared" si="14"/>
        <v>150100</v>
      </c>
      <c r="J188" s="26">
        <f>TRUNC(H188*요율기준!$B$8,-1)</f>
        <v>19430</v>
      </c>
      <c r="K188" s="26">
        <f t="shared" si="15"/>
        <v>19430</v>
      </c>
      <c r="L188" s="26">
        <f>TRUNC(E188*요율기준!$B$9,-1)</f>
        <v>38100</v>
      </c>
      <c r="M188" s="26">
        <f>TRUNC(E188*요율기준!$B$10,-1)</f>
        <v>48690</v>
      </c>
      <c r="N188" s="26">
        <f>TRUNC(E188*요율기준!$B$11,-1)</f>
        <v>62240</v>
      </c>
      <c r="O188" s="28">
        <f t="shared" si="16"/>
        <v>398160</v>
      </c>
      <c r="P188" s="28">
        <f t="shared" si="17"/>
        <v>470990</v>
      </c>
      <c r="Q188" s="28">
        <f t="shared" si="18"/>
        <v>869150</v>
      </c>
    </row>
    <row r="189" spans="1:17" x14ac:dyDescent="0.4">
      <c r="A189" s="30">
        <f>급여대장!A189</f>
        <v>46143</v>
      </c>
      <c r="B189" s="17">
        <v>16</v>
      </c>
      <c r="C189" s="25" t="str">
        <f>급여대장!D189</f>
        <v>슬기론</v>
      </c>
      <c r="D189" s="24" t="str">
        <f>급여대장!E189</f>
        <v>공사사업부</v>
      </c>
      <c r="E189" s="29">
        <f>급여대장!V189</f>
        <v>4371962</v>
      </c>
      <c r="F189" s="26">
        <f>TRUNC(MIN(MAX(E189,요율기준!$B$6),요율기준!$B$5)*요율기준!$B$4,-1)</f>
        <v>196730</v>
      </c>
      <c r="G189" s="26">
        <f t="shared" si="13"/>
        <v>196730</v>
      </c>
      <c r="H189" s="26">
        <f>TRUNC(E189*요율기준!$B$7,-1)</f>
        <v>154980</v>
      </c>
      <c r="I189" s="26">
        <f t="shared" si="14"/>
        <v>154980</v>
      </c>
      <c r="J189" s="26">
        <f>TRUNC(H189*요율기준!$B$8,-1)</f>
        <v>20060</v>
      </c>
      <c r="K189" s="26">
        <f t="shared" si="15"/>
        <v>20060</v>
      </c>
      <c r="L189" s="26">
        <f>TRUNC(E189*요율기준!$B$9,-1)</f>
        <v>39340</v>
      </c>
      <c r="M189" s="26">
        <f>TRUNC(E189*요율기준!$B$10,-1)</f>
        <v>50270</v>
      </c>
      <c r="N189" s="26">
        <f>TRUNC(E189*요율기준!$B$11,-1)</f>
        <v>64260</v>
      </c>
      <c r="O189" s="28">
        <f t="shared" si="16"/>
        <v>411110</v>
      </c>
      <c r="P189" s="28">
        <f t="shared" si="17"/>
        <v>486300</v>
      </c>
      <c r="Q189" s="28">
        <f t="shared" si="18"/>
        <v>897410</v>
      </c>
    </row>
    <row r="190" spans="1:17" x14ac:dyDescent="0.4">
      <c r="A190" s="30">
        <f>급여대장!A190</f>
        <v>46174</v>
      </c>
      <c r="B190" s="17">
        <v>16</v>
      </c>
      <c r="C190" s="25" t="str">
        <f>급여대장!D190</f>
        <v>슬기론</v>
      </c>
      <c r="D190" s="24" t="str">
        <f>급여대장!E190</f>
        <v>공사사업부</v>
      </c>
      <c r="E190" s="29">
        <f>급여대장!V190</f>
        <v>3843732</v>
      </c>
      <c r="F190" s="26">
        <f>TRUNC(MIN(MAX(E190,요율기준!$B$6),요율기준!$B$5)*요율기준!$B$4,-1)</f>
        <v>172960</v>
      </c>
      <c r="G190" s="26">
        <f t="shared" si="13"/>
        <v>172960</v>
      </c>
      <c r="H190" s="26">
        <f>TRUNC(E190*요율기준!$B$7,-1)</f>
        <v>136260</v>
      </c>
      <c r="I190" s="26">
        <f t="shared" si="14"/>
        <v>136260</v>
      </c>
      <c r="J190" s="26">
        <f>TRUNC(H190*요율기준!$B$8,-1)</f>
        <v>17640</v>
      </c>
      <c r="K190" s="26">
        <f t="shared" si="15"/>
        <v>17640</v>
      </c>
      <c r="L190" s="26">
        <f>TRUNC(E190*요율기준!$B$9,-1)</f>
        <v>34590</v>
      </c>
      <c r="M190" s="26">
        <f>TRUNC(E190*요율기준!$B$10,-1)</f>
        <v>44200</v>
      </c>
      <c r="N190" s="26">
        <f>TRUNC(E190*요율기준!$B$11,-1)</f>
        <v>56500</v>
      </c>
      <c r="O190" s="28">
        <f t="shared" si="16"/>
        <v>361450</v>
      </c>
      <c r="P190" s="28">
        <f t="shared" si="17"/>
        <v>427560</v>
      </c>
      <c r="Q190" s="28">
        <f t="shared" si="18"/>
        <v>789010</v>
      </c>
    </row>
    <row r="191" spans="1:17" x14ac:dyDescent="0.4">
      <c r="A191" s="30">
        <f>급여대장!A191</f>
        <v>46204</v>
      </c>
      <c r="B191" s="17">
        <v>16</v>
      </c>
      <c r="C191" s="25" t="str">
        <f>급여대장!D191</f>
        <v>슬기론</v>
      </c>
      <c r="D191" s="24" t="str">
        <f>급여대장!E191</f>
        <v>공사사업부</v>
      </c>
      <c r="E191" s="29">
        <f>급여대장!V191</f>
        <v>3981532</v>
      </c>
      <c r="F191" s="26">
        <f>TRUNC(MIN(MAX(E191,요율기준!$B$6),요율기준!$B$5)*요율기준!$B$4,-1)</f>
        <v>179160</v>
      </c>
      <c r="G191" s="26">
        <f t="shared" si="13"/>
        <v>179160</v>
      </c>
      <c r="H191" s="26">
        <f>TRUNC(E191*요율기준!$B$7,-1)</f>
        <v>141140</v>
      </c>
      <c r="I191" s="26">
        <f t="shared" si="14"/>
        <v>141140</v>
      </c>
      <c r="J191" s="26">
        <f>TRUNC(H191*요율기준!$B$8,-1)</f>
        <v>18270</v>
      </c>
      <c r="K191" s="26">
        <f t="shared" si="15"/>
        <v>18270</v>
      </c>
      <c r="L191" s="26">
        <f>TRUNC(E191*요율기준!$B$9,-1)</f>
        <v>35830</v>
      </c>
      <c r="M191" s="26">
        <f>TRUNC(E191*요율기준!$B$10,-1)</f>
        <v>45780</v>
      </c>
      <c r="N191" s="26">
        <f>TRUNC(E191*요율기준!$B$11,-1)</f>
        <v>58520</v>
      </c>
      <c r="O191" s="28">
        <f t="shared" si="16"/>
        <v>374400</v>
      </c>
      <c r="P191" s="28">
        <f t="shared" si="17"/>
        <v>442870</v>
      </c>
      <c r="Q191" s="28">
        <f t="shared" si="18"/>
        <v>817270</v>
      </c>
    </row>
    <row r="192" spans="1:17" x14ac:dyDescent="0.4">
      <c r="A192" s="30">
        <f>급여대장!A192</f>
        <v>46235</v>
      </c>
      <c r="B192" s="17">
        <v>16</v>
      </c>
      <c r="C192" s="25" t="str">
        <f>급여대장!D192</f>
        <v>슬기론</v>
      </c>
      <c r="D192" s="24" t="str">
        <f>급여대장!E192</f>
        <v>공사사업부</v>
      </c>
      <c r="E192" s="29">
        <f>급여대장!V192</f>
        <v>4119330</v>
      </c>
      <c r="F192" s="26">
        <f>TRUNC(MIN(MAX(E192,요율기준!$B$6),요율기준!$B$5)*요율기준!$B$4,-1)</f>
        <v>185360</v>
      </c>
      <c r="G192" s="26">
        <f t="shared" si="13"/>
        <v>185360</v>
      </c>
      <c r="H192" s="26">
        <f>TRUNC(E192*요율기준!$B$7,-1)</f>
        <v>146030</v>
      </c>
      <c r="I192" s="26">
        <f t="shared" si="14"/>
        <v>146030</v>
      </c>
      <c r="J192" s="26">
        <f>TRUNC(H192*요율기준!$B$8,-1)</f>
        <v>18910</v>
      </c>
      <c r="K192" s="26">
        <f t="shared" si="15"/>
        <v>18910</v>
      </c>
      <c r="L192" s="26">
        <f>TRUNC(E192*요율기준!$B$9,-1)</f>
        <v>37070</v>
      </c>
      <c r="M192" s="26">
        <f>TRUNC(E192*요율기준!$B$10,-1)</f>
        <v>47370</v>
      </c>
      <c r="N192" s="26">
        <f>TRUNC(E192*요율기준!$B$11,-1)</f>
        <v>60550</v>
      </c>
      <c r="O192" s="28">
        <f t="shared" si="16"/>
        <v>387370</v>
      </c>
      <c r="P192" s="28">
        <f t="shared" si="17"/>
        <v>458220</v>
      </c>
      <c r="Q192" s="28">
        <f t="shared" si="18"/>
        <v>845590</v>
      </c>
    </row>
    <row r="193" spans="1:17" x14ac:dyDescent="0.4">
      <c r="A193" s="30">
        <f>급여대장!A193</f>
        <v>46266</v>
      </c>
      <c r="B193" s="17">
        <v>16</v>
      </c>
      <c r="C193" s="25" t="str">
        <f>급여대장!D193</f>
        <v>슬기론</v>
      </c>
      <c r="D193" s="24" t="str">
        <f>급여대장!E193</f>
        <v>공사사업부</v>
      </c>
      <c r="E193" s="29">
        <f>급여대장!V193</f>
        <v>4257130</v>
      </c>
      <c r="F193" s="26">
        <f>TRUNC(MIN(MAX(E193,요율기준!$B$6),요율기준!$B$5)*요율기준!$B$4,-1)</f>
        <v>191570</v>
      </c>
      <c r="G193" s="26">
        <f t="shared" si="13"/>
        <v>191570</v>
      </c>
      <c r="H193" s="26">
        <f>TRUNC(E193*요율기준!$B$7,-1)</f>
        <v>150910</v>
      </c>
      <c r="I193" s="26">
        <f t="shared" si="14"/>
        <v>150910</v>
      </c>
      <c r="J193" s="26">
        <f>TRUNC(H193*요율기준!$B$8,-1)</f>
        <v>19540</v>
      </c>
      <c r="K193" s="26">
        <f t="shared" si="15"/>
        <v>19540</v>
      </c>
      <c r="L193" s="26">
        <f>TRUNC(E193*요율기준!$B$9,-1)</f>
        <v>38310</v>
      </c>
      <c r="M193" s="26">
        <f>TRUNC(E193*요율기준!$B$10,-1)</f>
        <v>48950</v>
      </c>
      <c r="N193" s="26">
        <f>TRUNC(E193*요율기준!$B$11,-1)</f>
        <v>62570</v>
      </c>
      <c r="O193" s="28">
        <f t="shared" si="16"/>
        <v>400330</v>
      </c>
      <c r="P193" s="28">
        <f t="shared" si="17"/>
        <v>473540</v>
      </c>
      <c r="Q193" s="28">
        <f t="shared" si="18"/>
        <v>873870</v>
      </c>
    </row>
    <row r="194" spans="1:17" x14ac:dyDescent="0.4">
      <c r="A194" s="30">
        <f>급여대장!A194</f>
        <v>46296</v>
      </c>
      <c r="B194" s="17">
        <v>16</v>
      </c>
      <c r="C194" s="25" t="str">
        <f>급여대장!D194</f>
        <v>슬기론</v>
      </c>
      <c r="D194" s="24" t="str">
        <f>급여대장!E194</f>
        <v>공사사업부</v>
      </c>
      <c r="E194" s="29">
        <f>급여대장!V194</f>
        <v>4303062</v>
      </c>
      <c r="F194" s="26">
        <f>TRUNC(MIN(MAX(E194,요율기준!$B$6),요율기준!$B$5)*요율기준!$B$4,-1)</f>
        <v>193630</v>
      </c>
      <c r="G194" s="26">
        <f t="shared" si="13"/>
        <v>193630</v>
      </c>
      <c r="H194" s="26">
        <f>TRUNC(E194*요율기준!$B$7,-1)</f>
        <v>152540</v>
      </c>
      <c r="I194" s="26">
        <f t="shared" si="14"/>
        <v>152540</v>
      </c>
      <c r="J194" s="26">
        <f>TRUNC(H194*요율기준!$B$8,-1)</f>
        <v>19750</v>
      </c>
      <c r="K194" s="26">
        <f t="shared" si="15"/>
        <v>19750</v>
      </c>
      <c r="L194" s="26">
        <f>TRUNC(E194*요율기준!$B$9,-1)</f>
        <v>38720</v>
      </c>
      <c r="M194" s="26">
        <f>TRUNC(E194*요율기준!$B$10,-1)</f>
        <v>49480</v>
      </c>
      <c r="N194" s="26">
        <f>TRUNC(E194*요율기준!$B$11,-1)</f>
        <v>63250</v>
      </c>
      <c r="O194" s="28">
        <f t="shared" si="16"/>
        <v>404640</v>
      </c>
      <c r="P194" s="28">
        <f t="shared" si="17"/>
        <v>478650</v>
      </c>
      <c r="Q194" s="28">
        <f t="shared" si="18"/>
        <v>883290</v>
      </c>
    </row>
    <row r="195" spans="1:17" x14ac:dyDescent="0.4">
      <c r="A195" s="30">
        <f>급여대장!A195</f>
        <v>46327</v>
      </c>
      <c r="B195" s="17">
        <v>16</v>
      </c>
      <c r="C195" s="25" t="str">
        <f>급여대장!D195</f>
        <v>슬기론</v>
      </c>
      <c r="D195" s="24" t="str">
        <f>급여대장!E195</f>
        <v>공사사업부</v>
      </c>
      <c r="E195" s="29">
        <f>급여대장!V195</f>
        <v>3866699</v>
      </c>
      <c r="F195" s="26">
        <f>TRUNC(MIN(MAX(E195,요율기준!$B$6),요율기준!$B$5)*요율기준!$B$4,-1)</f>
        <v>174000</v>
      </c>
      <c r="G195" s="26">
        <f t="shared" si="13"/>
        <v>174000</v>
      </c>
      <c r="H195" s="26">
        <f>TRUNC(E195*요율기준!$B$7,-1)</f>
        <v>137070</v>
      </c>
      <c r="I195" s="26">
        <f t="shared" si="14"/>
        <v>137070</v>
      </c>
      <c r="J195" s="26">
        <f>TRUNC(H195*요율기준!$B$8,-1)</f>
        <v>17750</v>
      </c>
      <c r="K195" s="26">
        <f t="shared" si="15"/>
        <v>17750</v>
      </c>
      <c r="L195" s="26">
        <f>TRUNC(E195*요율기준!$B$9,-1)</f>
        <v>34800</v>
      </c>
      <c r="M195" s="26">
        <f>TRUNC(E195*요율기준!$B$10,-1)</f>
        <v>44460</v>
      </c>
      <c r="N195" s="26">
        <f>TRUNC(E195*요율기준!$B$11,-1)</f>
        <v>56840</v>
      </c>
      <c r="O195" s="28">
        <f t="shared" si="16"/>
        <v>363620</v>
      </c>
      <c r="P195" s="28">
        <f t="shared" si="17"/>
        <v>430120</v>
      </c>
      <c r="Q195" s="28">
        <f t="shared" si="18"/>
        <v>793740</v>
      </c>
    </row>
    <row r="196" spans="1:17" x14ac:dyDescent="0.4">
      <c r="A196" s="30">
        <f>급여대장!A196</f>
        <v>46357</v>
      </c>
      <c r="B196" s="17">
        <v>16</v>
      </c>
      <c r="C196" s="25" t="str">
        <f>급여대장!D196</f>
        <v>슬기론</v>
      </c>
      <c r="D196" s="24" t="str">
        <f>급여대장!E196</f>
        <v>공사사업부</v>
      </c>
      <c r="E196" s="29">
        <f>급여대장!V196</f>
        <v>4004498</v>
      </c>
      <c r="F196" s="26">
        <f>TRUNC(MIN(MAX(E196,요율기준!$B$6),요율기준!$B$5)*요율기준!$B$4,-1)</f>
        <v>180200</v>
      </c>
      <c r="G196" s="26">
        <f t="shared" si="13"/>
        <v>180200</v>
      </c>
      <c r="H196" s="26">
        <f>TRUNC(E196*요율기준!$B$7,-1)</f>
        <v>141950</v>
      </c>
      <c r="I196" s="26">
        <f t="shared" si="14"/>
        <v>141950</v>
      </c>
      <c r="J196" s="26">
        <f>TRUNC(H196*요율기준!$B$8,-1)</f>
        <v>18380</v>
      </c>
      <c r="K196" s="26">
        <f t="shared" si="15"/>
        <v>18380</v>
      </c>
      <c r="L196" s="26">
        <f>TRUNC(E196*요율기준!$B$9,-1)</f>
        <v>36040</v>
      </c>
      <c r="M196" s="26">
        <f>TRUNC(E196*요율기준!$B$10,-1)</f>
        <v>46050</v>
      </c>
      <c r="N196" s="26">
        <f>TRUNC(E196*요율기준!$B$11,-1)</f>
        <v>58860</v>
      </c>
      <c r="O196" s="28">
        <f t="shared" si="16"/>
        <v>376570</v>
      </c>
      <c r="P196" s="28">
        <f t="shared" si="17"/>
        <v>445440</v>
      </c>
      <c r="Q196" s="28">
        <f t="shared" si="18"/>
        <v>822010</v>
      </c>
    </row>
    <row r="197" spans="1:17" x14ac:dyDescent="0.4">
      <c r="A197" s="30">
        <f>급여대장!A197</f>
        <v>46023</v>
      </c>
      <c r="B197" s="17">
        <v>17</v>
      </c>
      <c r="C197" s="25" t="str">
        <f>급여대장!D197</f>
        <v>빛나라</v>
      </c>
      <c r="D197" s="24" t="str">
        <f>급여대장!E197</f>
        <v>기업부설연구소</v>
      </c>
      <c r="E197" s="29">
        <f>급여대장!V197</f>
        <v>3240000</v>
      </c>
      <c r="F197" s="26">
        <f>TRUNC(MIN(MAX(E197,요율기준!$B$6),요율기준!$B$5)*요율기준!$B$4,-1)</f>
        <v>145800</v>
      </c>
      <c r="G197" s="26">
        <f t="shared" ref="G197:G260" si="19">F197</f>
        <v>145800</v>
      </c>
      <c r="H197" s="26">
        <f>TRUNC(E197*요율기준!$B$7,-1)</f>
        <v>114850</v>
      </c>
      <c r="I197" s="26">
        <f t="shared" ref="I197:I260" si="20">H197</f>
        <v>114850</v>
      </c>
      <c r="J197" s="26">
        <f>TRUNC(H197*요율기준!$B$8,-1)</f>
        <v>14870</v>
      </c>
      <c r="K197" s="26">
        <f t="shared" ref="K197:K260" si="21">J197</f>
        <v>14870</v>
      </c>
      <c r="L197" s="26">
        <f>TRUNC(E197*요율기준!$B$9,-1)</f>
        <v>29160</v>
      </c>
      <c r="M197" s="26">
        <f>TRUNC(E197*요율기준!$B$10,-1)</f>
        <v>37260</v>
      </c>
      <c r="N197" s="26">
        <f>TRUNC(E197*요율기준!$B$11,-1)</f>
        <v>47620</v>
      </c>
      <c r="O197" s="28">
        <f t="shared" ref="O197:O220" si="22">F197+H197+J197+L197</f>
        <v>304680</v>
      </c>
      <c r="P197" s="28">
        <f t="shared" ref="P197:P220" si="23">G197+I197+K197+M197+N197</f>
        <v>360400</v>
      </c>
      <c r="Q197" s="28">
        <f t="shared" ref="Q197:Q260" si="24">O197+P197</f>
        <v>665080</v>
      </c>
    </row>
    <row r="198" spans="1:17" x14ac:dyDescent="0.4">
      <c r="A198" s="30">
        <f>급여대장!A198</f>
        <v>46054</v>
      </c>
      <c r="B198" s="17">
        <v>17</v>
      </c>
      <c r="C198" s="25" t="str">
        <f>급여대장!D198</f>
        <v>빛나라</v>
      </c>
      <c r="D198" s="24" t="str">
        <f>급여대장!E198</f>
        <v>기업부설연구소</v>
      </c>
      <c r="E198" s="29">
        <f>급여대장!V198</f>
        <v>3323256</v>
      </c>
      <c r="F198" s="26">
        <f>TRUNC(MIN(MAX(E198,요율기준!$B$6),요율기준!$B$5)*요율기준!$B$4,-1)</f>
        <v>149540</v>
      </c>
      <c r="G198" s="26">
        <f t="shared" si="19"/>
        <v>149540</v>
      </c>
      <c r="H198" s="26">
        <f>TRUNC(E198*요율기준!$B$7,-1)</f>
        <v>117800</v>
      </c>
      <c r="I198" s="26">
        <f t="shared" si="20"/>
        <v>117800</v>
      </c>
      <c r="J198" s="26">
        <f>TRUNC(H198*요율기준!$B$8,-1)</f>
        <v>15250</v>
      </c>
      <c r="K198" s="26">
        <f t="shared" si="21"/>
        <v>15250</v>
      </c>
      <c r="L198" s="26">
        <f>TRUNC(E198*요율기준!$B$9,-1)</f>
        <v>29900</v>
      </c>
      <c r="M198" s="26">
        <f>TRUNC(E198*요율기준!$B$10,-1)</f>
        <v>38210</v>
      </c>
      <c r="N198" s="26">
        <f>TRUNC(E198*요율기준!$B$11,-1)</f>
        <v>48850</v>
      </c>
      <c r="O198" s="28">
        <f t="shared" si="22"/>
        <v>312490</v>
      </c>
      <c r="P198" s="28">
        <f t="shared" si="23"/>
        <v>369650</v>
      </c>
      <c r="Q198" s="28">
        <f t="shared" si="24"/>
        <v>682140</v>
      </c>
    </row>
    <row r="199" spans="1:17" x14ac:dyDescent="0.4">
      <c r="A199" s="30">
        <f>급여대장!A199</f>
        <v>46082</v>
      </c>
      <c r="B199" s="17">
        <v>17</v>
      </c>
      <c r="C199" s="25" t="str">
        <f>급여대장!D199</f>
        <v>빛나라</v>
      </c>
      <c r="D199" s="24" t="str">
        <f>급여대장!E199</f>
        <v>기업부설연구소</v>
      </c>
      <c r="E199" s="29">
        <f>급여대장!V199</f>
        <v>3240000</v>
      </c>
      <c r="F199" s="26">
        <f>TRUNC(MIN(MAX(E199,요율기준!$B$6),요율기준!$B$5)*요율기준!$B$4,-1)</f>
        <v>145800</v>
      </c>
      <c r="G199" s="26">
        <f t="shared" si="19"/>
        <v>145800</v>
      </c>
      <c r="H199" s="26">
        <f>TRUNC(E199*요율기준!$B$7,-1)</f>
        <v>114850</v>
      </c>
      <c r="I199" s="26">
        <f t="shared" si="20"/>
        <v>114850</v>
      </c>
      <c r="J199" s="26">
        <f>TRUNC(H199*요율기준!$B$8,-1)</f>
        <v>14870</v>
      </c>
      <c r="K199" s="26">
        <f t="shared" si="21"/>
        <v>14870</v>
      </c>
      <c r="L199" s="26">
        <f>TRUNC(E199*요율기준!$B$9,-1)</f>
        <v>29160</v>
      </c>
      <c r="M199" s="26">
        <f>TRUNC(E199*요율기준!$B$10,-1)</f>
        <v>37260</v>
      </c>
      <c r="N199" s="26">
        <f>TRUNC(E199*요율기준!$B$11,-1)</f>
        <v>47620</v>
      </c>
      <c r="O199" s="28">
        <f t="shared" si="22"/>
        <v>304680</v>
      </c>
      <c r="P199" s="28">
        <f t="shared" si="23"/>
        <v>360400</v>
      </c>
      <c r="Q199" s="28">
        <f t="shared" si="24"/>
        <v>665080</v>
      </c>
    </row>
    <row r="200" spans="1:17" x14ac:dyDescent="0.4">
      <c r="A200" s="30">
        <f>급여대장!A200</f>
        <v>46113</v>
      </c>
      <c r="B200" s="17">
        <v>17</v>
      </c>
      <c r="C200" s="25" t="str">
        <f>급여대장!D200</f>
        <v>빛나라</v>
      </c>
      <c r="D200" s="24" t="str">
        <f>급여대장!E200</f>
        <v>기업부설연구소</v>
      </c>
      <c r="E200" s="29">
        <f>급여대장!V200</f>
        <v>3323256</v>
      </c>
      <c r="F200" s="26">
        <f>TRUNC(MIN(MAX(E200,요율기준!$B$6),요율기준!$B$5)*요율기준!$B$4,-1)</f>
        <v>149540</v>
      </c>
      <c r="G200" s="26">
        <f t="shared" si="19"/>
        <v>149540</v>
      </c>
      <c r="H200" s="26">
        <f>TRUNC(E200*요율기준!$B$7,-1)</f>
        <v>117800</v>
      </c>
      <c r="I200" s="26">
        <f t="shared" si="20"/>
        <v>117800</v>
      </c>
      <c r="J200" s="26">
        <f>TRUNC(H200*요율기준!$B$8,-1)</f>
        <v>15250</v>
      </c>
      <c r="K200" s="26">
        <f t="shared" si="21"/>
        <v>15250</v>
      </c>
      <c r="L200" s="26">
        <f>TRUNC(E200*요율기준!$B$9,-1)</f>
        <v>29900</v>
      </c>
      <c r="M200" s="26">
        <f>TRUNC(E200*요율기준!$B$10,-1)</f>
        <v>38210</v>
      </c>
      <c r="N200" s="26">
        <f>TRUNC(E200*요율기준!$B$11,-1)</f>
        <v>48850</v>
      </c>
      <c r="O200" s="28">
        <f t="shared" si="22"/>
        <v>312490</v>
      </c>
      <c r="P200" s="28">
        <f t="shared" si="23"/>
        <v>369650</v>
      </c>
      <c r="Q200" s="28">
        <f t="shared" si="24"/>
        <v>682140</v>
      </c>
    </row>
    <row r="201" spans="1:17" x14ac:dyDescent="0.4">
      <c r="A201" s="30">
        <f>급여대장!A201</f>
        <v>46143</v>
      </c>
      <c r="B201" s="17">
        <v>17</v>
      </c>
      <c r="C201" s="25" t="str">
        <f>급여대장!D201</f>
        <v>빛나라</v>
      </c>
      <c r="D201" s="24" t="str">
        <f>급여대장!E201</f>
        <v>기업부설연구소</v>
      </c>
      <c r="E201" s="29">
        <f>급여대장!V201</f>
        <v>3240000</v>
      </c>
      <c r="F201" s="26">
        <f>TRUNC(MIN(MAX(E201,요율기준!$B$6),요율기준!$B$5)*요율기준!$B$4,-1)</f>
        <v>145800</v>
      </c>
      <c r="G201" s="26">
        <f t="shared" si="19"/>
        <v>145800</v>
      </c>
      <c r="H201" s="26">
        <f>TRUNC(E201*요율기준!$B$7,-1)</f>
        <v>114850</v>
      </c>
      <c r="I201" s="26">
        <f t="shared" si="20"/>
        <v>114850</v>
      </c>
      <c r="J201" s="26">
        <f>TRUNC(H201*요율기준!$B$8,-1)</f>
        <v>14870</v>
      </c>
      <c r="K201" s="26">
        <f t="shared" si="21"/>
        <v>14870</v>
      </c>
      <c r="L201" s="26">
        <f>TRUNC(E201*요율기준!$B$9,-1)</f>
        <v>29160</v>
      </c>
      <c r="M201" s="26">
        <f>TRUNC(E201*요율기준!$B$10,-1)</f>
        <v>37260</v>
      </c>
      <c r="N201" s="26">
        <f>TRUNC(E201*요율기준!$B$11,-1)</f>
        <v>47620</v>
      </c>
      <c r="O201" s="28">
        <f t="shared" si="22"/>
        <v>304680</v>
      </c>
      <c r="P201" s="28">
        <f t="shared" si="23"/>
        <v>360400</v>
      </c>
      <c r="Q201" s="28">
        <f t="shared" si="24"/>
        <v>665080</v>
      </c>
    </row>
    <row r="202" spans="1:17" x14ac:dyDescent="0.4">
      <c r="A202" s="30">
        <f>급여대장!A202</f>
        <v>46174</v>
      </c>
      <c r="B202" s="17">
        <v>17</v>
      </c>
      <c r="C202" s="25" t="str">
        <f>급여대장!D202</f>
        <v>빛나라</v>
      </c>
      <c r="D202" s="24" t="str">
        <f>급여대장!E202</f>
        <v>기업부설연구소</v>
      </c>
      <c r="E202" s="29">
        <f>급여대장!V202</f>
        <v>3323256</v>
      </c>
      <c r="F202" s="26">
        <f>TRUNC(MIN(MAX(E202,요율기준!$B$6),요율기준!$B$5)*요율기준!$B$4,-1)</f>
        <v>149540</v>
      </c>
      <c r="G202" s="26">
        <f t="shared" si="19"/>
        <v>149540</v>
      </c>
      <c r="H202" s="26">
        <f>TRUNC(E202*요율기준!$B$7,-1)</f>
        <v>117800</v>
      </c>
      <c r="I202" s="26">
        <f t="shared" si="20"/>
        <v>117800</v>
      </c>
      <c r="J202" s="26">
        <f>TRUNC(H202*요율기준!$B$8,-1)</f>
        <v>15250</v>
      </c>
      <c r="K202" s="26">
        <f t="shared" si="21"/>
        <v>15250</v>
      </c>
      <c r="L202" s="26">
        <f>TRUNC(E202*요율기준!$B$9,-1)</f>
        <v>29900</v>
      </c>
      <c r="M202" s="26">
        <f>TRUNC(E202*요율기준!$B$10,-1)</f>
        <v>38210</v>
      </c>
      <c r="N202" s="26">
        <f>TRUNC(E202*요율기준!$B$11,-1)</f>
        <v>48850</v>
      </c>
      <c r="O202" s="28">
        <f t="shared" si="22"/>
        <v>312490</v>
      </c>
      <c r="P202" s="28">
        <f t="shared" si="23"/>
        <v>369650</v>
      </c>
      <c r="Q202" s="28">
        <f t="shared" si="24"/>
        <v>682140</v>
      </c>
    </row>
    <row r="203" spans="1:17" x14ac:dyDescent="0.4">
      <c r="A203" s="30">
        <f>급여대장!A203</f>
        <v>46204</v>
      </c>
      <c r="B203" s="17">
        <v>17</v>
      </c>
      <c r="C203" s="25" t="str">
        <f>급여대장!D203</f>
        <v>빛나라</v>
      </c>
      <c r="D203" s="24" t="str">
        <f>급여대장!E203</f>
        <v>기업부설연구소</v>
      </c>
      <c r="E203" s="29">
        <f>급여대장!V203</f>
        <v>3240000</v>
      </c>
      <c r="F203" s="26">
        <f>TRUNC(MIN(MAX(E203,요율기준!$B$6),요율기준!$B$5)*요율기준!$B$4,-1)</f>
        <v>145800</v>
      </c>
      <c r="G203" s="26">
        <f t="shared" si="19"/>
        <v>145800</v>
      </c>
      <c r="H203" s="26">
        <f>TRUNC(E203*요율기준!$B$7,-1)</f>
        <v>114850</v>
      </c>
      <c r="I203" s="26">
        <f t="shared" si="20"/>
        <v>114850</v>
      </c>
      <c r="J203" s="26">
        <f>TRUNC(H203*요율기준!$B$8,-1)</f>
        <v>14870</v>
      </c>
      <c r="K203" s="26">
        <f t="shared" si="21"/>
        <v>14870</v>
      </c>
      <c r="L203" s="26">
        <f>TRUNC(E203*요율기준!$B$9,-1)</f>
        <v>29160</v>
      </c>
      <c r="M203" s="26">
        <f>TRUNC(E203*요율기준!$B$10,-1)</f>
        <v>37260</v>
      </c>
      <c r="N203" s="26">
        <f>TRUNC(E203*요율기준!$B$11,-1)</f>
        <v>47620</v>
      </c>
      <c r="O203" s="28">
        <f t="shared" si="22"/>
        <v>304680</v>
      </c>
      <c r="P203" s="28">
        <f t="shared" si="23"/>
        <v>360400</v>
      </c>
      <c r="Q203" s="28">
        <f t="shared" si="24"/>
        <v>665080</v>
      </c>
    </row>
    <row r="204" spans="1:17" x14ac:dyDescent="0.4">
      <c r="A204" s="30">
        <f>급여대장!A204</f>
        <v>46235</v>
      </c>
      <c r="B204" s="17">
        <v>17</v>
      </c>
      <c r="C204" s="25" t="str">
        <f>급여대장!D204</f>
        <v>빛나라</v>
      </c>
      <c r="D204" s="24" t="str">
        <f>급여대장!E204</f>
        <v>기업부설연구소</v>
      </c>
      <c r="E204" s="29">
        <f>급여대장!V204</f>
        <v>3323256</v>
      </c>
      <c r="F204" s="26">
        <f>TRUNC(MIN(MAX(E204,요율기준!$B$6),요율기준!$B$5)*요율기준!$B$4,-1)</f>
        <v>149540</v>
      </c>
      <c r="G204" s="26">
        <f t="shared" si="19"/>
        <v>149540</v>
      </c>
      <c r="H204" s="26">
        <f>TRUNC(E204*요율기준!$B$7,-1)</f>
        <v>117800</v>
      </c>
      <c r="I204" s="26">
        <f t="shared" si="20"/>
        <v>117800</v>
      </c>
      <c r="J204" s="26">
        <f>TRUNC(H204*요율기준!$B$8,-1)</f>
        <v>15250</v>
      </c>
      <c r="K204" s="26">
        <f t="shared" si="21"/>
        <v>15250</v>
      </c>
      <c r="L204" s="26">
        <f>TRUNC(E204*요율기준!$B$9,-1)</f>
        <v>29900</v>
      </c>
      <c r="M204" s="26">
        <f>TRUNC(E204*요율기준!$B$10,-1)</f>
        <v>38210</v>
      </c>
      <c r="N204" s="26">
        <f>TRUNC(E204*요율기준!$B$11,-1)</f>
        <v>48850</v>
      </c>
      <c r="O204" s="28">
        <f t="shared" si="22"/>
        <v>312490</v>
      </c>
      <c r="P204" s="28">
        <f t="shared" si="23"/>
        <v>369650</v>
      </c>
      <c r="Q204" s="28">
        <f t="shared" si="24"/>
        <v>682140</v>
      </c>
    </row>
    <row r="205" spans="1:17" x14ac:dyDescent="0.4">
      <c r="A205" s="30">
        <f>급여대장!A205</f>
        <v>46266</v>
      </c>
      <c r="B205" s="17">
        <v>17</v>
      </c>
      <c r="C205" s="25" t="str">
        <f>급여대장!D205</f>
        <v>빛나라</v>
      </c>
      <c r="D205" s="24" t="str">
        <f>급여대장!E205</f>
        <v>기업부설연구소</v>
      </c>
      <c r="E205" s="29">
        <f>급여대장!V205</f>
        <v>3240000</v>
      </c>
      <c r="F205" s="26">
        <f>TRUNC(MIN(MAX(E205,요율기준!$B$6),요율기준!$B$5)*요율기준!$B$4,-1)</f>
        <v>145800</v>
      </c>
      <c r="G205" s="26">
        <f t="shared" si="19"/>
        <v>145800</v>
      </c>
      <c r="H205" s="26">
        <f>TRUNC(E205*요율기준!$B$7,-1)</f>
        <v>114850</v>
      </c>
      <c r="I205" s="26">
        <f t="shared" si="20"/>
        <v>114850</v>
      </c>
      <c r="J205" s="26">
        <f>TRUNC(H205*요율기준!$B$8,-1)</f>
        <v>14870</v>
      </c>
      <c r="K205" s="26">
        <f t="shared" si="21"/>
        <v>14870</v>
      </c>
      <c r="L205" s="26">
        <f>TRUNC(E205*요율기준!$B$9,-1)</f>
        <v>29160</v>
      </c>
      <c r="M205" s="26">
        <f>TRUNC(E205*요율기준!$B$10,-1)</f>
        <v>37260</v>
      </c>
      <c r="N205" s="26">
        <f>TRUNC(E205*요율기준!$B$11,-1)</f>
        <v>47620</v>
      </c>
      <c r="O205" s="28">
        <f t="shared" si="22"/>
        <v>304680</v>
      </c>
      <c r="P205" s="28">
        <f t="shared" si="23"/>
        <v>360400</v>
      </c>
      <c r="Q205" s="28">
        <f t="shared" si="24"/>
        <v>665080</v>
      </c>
    </row>
    <row r="206" spans="1:17" x14ac:dyDescent="0.4">
      <c r="A206" s="30">
        <f>급여대장!A206</f>
        <v>46296</v>
      </c>
      <c r="B206" s="17">
        <v>17</v>
      </c>
      <c r="C206" s="25" t="str">
        <f>급여대장!D206</f>
        <v>빛나라</v>
      </c>
      <c r="D206" s="24" t="str">
        <f>급여대장!E206</f>
        <v>기업부설연구소</v>
      </c>
      <c r="E206" s="29">
        <f>급여대장!V206</f>
        <v>3323256</v>
      </c>
      <c r="F206" s="26">
        <f>TRUNC(MIN(MAX(E206,요율기준!$B$6),요율기준!$B$5)*요율기준!$B$4,-1)</f>
        <v>149540</v>
      </c>
      <c r="G206" s="26">
        <f t="shared" si="19"/>
        <v>149540</v>
      </c>
      <c r="H206" s="26">
        <f>TRUNC(E206*요율기준!$B$7,-1)</f>
        <v>117800</v>
      </c>
      <c r="I206" s="26">
        <f t="shared" si="20"/>
        <v>117800</v>
      </c>
      <c r="J206" s="26">
        <f>TRUNC(H206*요율기준!$B$8,-1)</f>
        <v>15250</v>
      </c>
      <c r="K206" s="26">
        <f t="shared" si="21"/>
        <v>15250</v>
      </c>
      <c r="L206" s="26">
        <f>TRUNC(E206*요율기준!$B$9,-1)</f>
        <v>29900</v>
      </c>
      <c r="M206" s="26">
        <f>TRUNC(E206*요율기준!$B$10,-1)</f>
        <v>38210</v>
      </c>
      <c r="N206" s="26">
        <f>TRUNC(E206*요율기준!$B$11,-1)</f>
        <v>48850</v>
      </c>
      <c r="O206" s="28">
        <f t="shared" si="22"/>
        <v>312490</v>
      </c>
      <c r="P206" s="28">
        <f t="shared" si="23"/>
        <v>369650</v>
      </c>
      <c r="Q206" s="28">
        <f t="shared" si="24"/>
        <v>682140</v>
      </c>
    </row>
    <row r="207" spans="1:17" x14ac:dyDescent="0.4">
      <c r="A207" s="30">
        <f>급여대장!A207</f>
        <v>46327</v>
      </c>
      <c r="B207" s="17">
        <v>17</v>
      </c>
      <c r="C207" s="25" t="str">
        <f>급여대장!D207</f>
        <v>빛나라</v>
      </c>
      <c r="D207" s="24" t="str">
        <f>급여대장!E207</f>
        <v>기업부설연구소</v>
      </c>
      <c r="E207" s="29">
        <f>급여대장!V207</f>
        <v>3240000</v>
      </c>
      <c r="F207" s="26">
        <f>TRUNC(MIN(MAX(E207,요율기준!$B$6),요율기준!$B$5)*요율기준!$B$4,-1)</f>
        <v>145800</v>
      </c>
      <c r="G207" s="26">
        <f t="shared" si="19"/>
        <v>145800</v>
      </c>
      <c r="H207" s="26">
        <f>TRUNC(E207*요율기준!$B$7,-1)</f>
        <v>114850</v>
      </c>
      <c r="I207" s="26">
        <f t="shared" si="20"/>
        <v>114850</v>
      </c>
      <c r="J207" s="26">
        <f>TRUNC(H207*요율기준!$B$8,-1)</f>
        <v>14870</v>
      </c>
      <c r="K207" s="26">
        <f t="shared" si="21"/>
        <v>14870</v>
      </c>
      <c r="L207" s="26">
        <f>TRUNC(E207*요율기준!$B$9,-1)</f>
        <v>29160</v>
      </c>
      <c r="M207" s="26">
        <f>TRUNC(E207*요율기준!$B$10,-1)</f>
        <v>37260</v>
      </c>
      <c r="N207" s="26">
        <f>TRUNC(E207*요율기준!$B$11,-1)</f>
        <v>47620</v>
      </c>
      <c r="O207" s="28">
        <f t="shared" si="22"/>
        <v>304680</v>
      </c>
      <c r="P207" s="28">
        <f t="shared" si="23"/>
        <v>360400</v>
      </c>
      <c r="Q207" s="28">
        <f t="shared" si="24"/>
        <v>665080</v>
      </c>
    </row>
    <row r="208" spans="1:17" x14ac:dyDescent="0.4">
      <c r="A208" s="30">
        <f>급여대장!A208</f>
        <v>46357</v>
      </c>
      <c r="B208" s="17">
        <v>17</v>
      </c>
      <c r="C208" s="25" t="str">
        <f>급여대장!D208</f>
        <v>빛나라</v>
      </c>
      <c r="D208" s="24" t="str">
        <f>급여대장!E208</f>
        <v>기업부설연구소</v>
      </c>
      <c r="E208" s="29">
        <f>급여대장!V208</f>
        <v>3323256</v>
      </c>
      <c r="F208" s="26">
        <f>TRUNC(MIN(MAX(E208,요율기준!$B$6),요율기준!$B$5)*요율기준!$B$4,-1)</f>
        <v>149540</v>
      </c>
      <c r="G208" s="26">
        <f t="shared" si="19"/>
        <v>149540</v>
      </c>
      <c r="H208" s="26">
        <f>TRUNC(E208*요율기준!$B$7,-1)</f>
        <v>117800</v>
      </c>
      <c r="I208" s="26">
        <f t="shared" si="20"/>
        <v>117800</v>
      </c>
      <c r="J208" s="26">
        <f>TRUNC(H208*요율기준!$B$8,-1)</f>
        <v>15250</v>
      </c>
      <c r="K208" s="26">
        <f t="shared" si="21"/>
        <v>15250</v>
      </c>
      <c r="L208" s="26">
        <f>TRUNC(E208*요율기준!$B$9,-1)</f>
        <v>29900</v>
      </c>
      <c r="M208" s="26">
        <f>TRUNC(E208*요율기준!$B$10,-1)</f>
        <v>38210</v>
      </c>
      <c r="N208" s="26">
        <f>TRUNC(E208*요율기준!$B$11,-1)</f>
        <v>48850</v>
      </c>
      <c r="O208" s="28">
        <f t="shared" si="22"/>
        <v>312490</v>
      </c>
      <c r="P208" s="28">
        <f t="shared" si="23"/>
        <v>369650</v>
      </c>
      <c r="Q208" s="28">
        <f t="shared" si="24"/>
        <v>682140</v>
      </c>
    </row>
    <row r="209" spans="1:17" x14ac:dyDescent="0.4">
      <c r="A209" s="30">
        <f>급여대장!A209</f>
        <v>46023</v>
      </c>
      <c r="B209" s="17">
        <v>18</v>
      </c>
      <c r="C209" s="25" t="str">
        <f>급여대장!D209</f>
        <v>온새미</v>
      </c>
      <c r="D209" s="24" t="str">
        <f>급여대장!E209</f>
        <v>현장지원</v>
      </c>
      <c r="E209" s="29">
        <f>급여대장!V209</f>
        <v>3297759</v>
      </c>
      <c r="F209" s="26">
        <f>TRUNC(MIN(MAX(E209,요율기준!$B$6),요율기준!$B$5)*요율기준!$B$4,-1)</f>
        <v>148390</v>
      </c>
      <c r="G209" s="26">
        <f t="shared" si="19"/>
        <v>148390</v>
      </c>
      <c r="H209" s="26">
        <f>TRUNC(E209*요율기준!$B$7,-1)</f>
        <v>116900</v>
      </c>
      <c r="I209" s="26">
        <f t="shared" si="20"/>
        <v>116900</v>
      </c>
      <c r="J209" s="26">
        <f>TRUNC(H209*요율기준!$B$8,-1)</f>
        <v>15130</v>
      </c>
      <c r="K209" s="26">
        <f t="shared" si="21"/>
        <v>15130</v>
      </c>
      <c r="L209" s="26">
        <f>TRUNC(E209*요율기준!$B$9,-1)</f>
        <v>29670</v>
      </c>
      <c r="M209" s="26">
        <f>TRUNC(E209*요율기준!$B$10,-1)</f>
        <v>37920</v>
      </c>
      <c r="N209" s="26">
        <f>TRUNC(E209*요율기준!$B$11,-1)</f>
        <v>48470</v>
      </c>
      <c r="O209" s="28">
        <f t="shared" si="22"/>
        <v>310090</v>
      </c>
      <c r="P209" s="28">
        <f t="shared" si="23"/>
        <v>366810</v>
      </c>
      <c r="Q209" s="28">
        <f t="shared" si="24"/>
        <v>676900</v>
      </c>
    </row>
    <row r="210" spans="1:17" x14ac:dyDescent="0.4">
      <c r="A210" s="30">
        <f>급여대장!A210</f>
        <v>46054</v>
      </c>
      <c r="B210" s="17">
        <v>18</v>
      </c>
      <c r="C210" s="25" t="str">
        <f>급여대장!D210</f>
        <v>온새미</v>
      </c>
      <c r="D210" s="24" t="str">
        <f>급여대장!E210</f>
        <v>현장지원</v>
      </c>
      <c r="E210" s="29">
        <f>급여대장!V210</f>
        <v>3414030</v>
      </c>
      <c r="F210" s="26">
        <f>TRUNC(MIN(MAX(E210,요율기준!$B$6),요율기준!$B$5)*요율기준!$B$4,-1)</f>
        <v>153630</v>
      </c>
      <c r="G210" s="26">
        <f t="shared" si="19"/>
        <v>153630</v>
      </c>
      <c r="H210" s="26">
        <f>TRUNC(E210*요율기준!$B$7,-1)</f>
        <v>121020</v>
      </c>
      <c r="I210" s="26">
        <f t="shared" si="20"/>
        <v>121020</v>
      </c>
      <c r="J210" s="26">
        <f>TRUNC(H210*요율기준!$B$8,-1)</f>
        <v>15670</v>
      </c>
      <c r="K210" s="26">
        <f t="shared" si="21"/>
        <v>15670</v>
      </c>
      <c r="L210" s="26">
        <f>TRUNC(E210*요율기준!$B$9,-1)</f>
        <v>30720</v>
      </c>
      <c r="M210" s="26">
        <f>TRUNC(E210*요율기준!$B$10,-1)</f>
        <v>39260</v>
      </c>
      <c r="N210" s="26">
        <f>TRUNC(E210*요율기준!$B$11,-1)</f>
        <v>50180</v>
      </c>
      <c r="O210" s="28">
        <f t="shared" si="22"/>
        <v>321040</v>
      </c>
      <c r="P210" s="28">
        <f t="shared" si="23"/>
        <v>379760</v>
      </c>
      <c r="Q210" s="28">
        <f t="shared" si="24"/>
        <v>700800</v>
      </c>
    </row>
    <row r="211" spans="1:17" x14ac:dyDescent="0.4">
      <c r="A211" s="30">
        <f>급여대장!A211</f>
        <v>46082</v>
      </c>
      <c r="B211" s="17">
        <v>18</v>
      </c>
      <c r="C211" s="25" t="str">
        <f>급여대장!D211</f>
        <v>온새미</v>
      </c>
      <c r="D211" s="24" t="str">
        <f>급여대장!E211</f>
        <v>현장지원</v>
      </c>
      <c r="E211" s="29">
        <f>급여대장!V211</f>
        <v>3530301</v>
      </c>
      <c r="F211" s="26">
        <f>TRUNC(MIN(MAX(E211,요율기준!$B$6),요율기준!$B$5)*요율기준!$B$4,-1)</f>
        <v>158860</v>
      </c>
      <c r="G211" s="26">
        <f t="shared" si="19"/>
        <v>158860</v>
      </c>
      <c r="H211" s="26">
        <f>TRUNC(E211*요율기준!$B$7,-1)</f>
        <v>125140</v>
      </c>
      <c r="I211" s="26">
        <f t="shared" si="20"/>
        <v>125140</v>
      </c>
      <c r="J211" s="26">
        <f>TRUNC(H211*요율기준!$B$8,-1)</f>
        <v>16200</v>
      </c>
      <c r="K211" s="26">
        <f t="shared" si="21"/>
        <v>16200</v>
      </c>
      <c r="L211" s="26">
        <f>TRUNC(E211*요율기준!$B$9,-1)</f>
        <v>31770</v>
      </c>
      <c r="M211" s="26">
        <f>TRUNC(E211*요율기준!$B$10,-1)</f>
        <v>40590</v>
      </c>
      <c r="N211" s="26">
        <f>TRUNC(E211*요율기준!$B$11,-1)</f>
        <v>51890</v>
      </c>
      <c r="O211" s="28">
        <f t="shared" si="22"/>
        <v>331970</v>
      </c>
      <c r="P211" s="28">
        <f t="shared" si="23"/>
        <v>392680</v>
      </c>
      <c r="Q211" s="28">
        <f t="shared" si="24"/>
        <v>724650</v>
      </c>
    </row>
    <row r="212" spans="1:17" x14ac:dyDescent="0.4">
      <c r="A212" s="30">
        <f>급여대장!A212</f>
        <v>46113</v>
      </c>
      <c r="B212" s="17">
        <v>18</v>
      </c>
      <c r="C212" s="25" t="str">
        <f>급여대장!D212</f>
        <v>온새미</v>
      </c>
      <c r="D212" s="24" t="str">
        <f>급여대장!E212</f>
        <v>현장지원</v>
      </c>
      <c r="E212" s="29">
        <f>급여대장!V212</f>
        <v>3646572</v>
      </c>
      <c r="F212" s="26">
        <f>TRUNC(MIN(MAX(E212,요율기준!$B$6),요율기준!$B$5)*요율기준!$B$4,-1)</f>
        <v>164090</v>
      </c>
      <c r="G212" s="26">
        <f t="shared" si="19"/>
        <v>164090</v>
      </c>
      <c r="H212" s="26">
        <f>TRUNC(E212*요율기준!$B$7,-1)</f>
        <v>129270</v>
      </c>
      <c r="I212" s="26">
        <f t="shared" si="20"/>
        <v>129270</v>
      </c>
      <c r="J212" s="26">
        <f>TRUNC(H212*요율기준!$B$8,-1)</f>
        <v>16740</v>
      </c>
      <c r="K212" s="26">
        <f t="shared" si="21"/>
        <v>16740</v>
      </c>
      <c r="L212" s="26">
        <f>TRUNC(E212*요율기준!$B$9,-1)</f>
        <v>32810</v>
      </c>
      <c r="M212" s="26">
        <f>TRUNC(E212*요율기준!$B$10,-1)</f>
        <v>41930</v>
      </c>
      <c r="N212" s="26">
        <f>TRUNC(E212*요율기준!$B$11,-1)</f>
        <v>53600</v>
      </c>
      <c r="O212" s="28">
        <f t="shared" si="22"/>
        <v>342910</v>
      </c>
      <c r="P212" s="28">
        <f t="shared" si="23"/>
        <v>405630</v>
      </c>
      <c r="Q212" s="28">
        <f t="shared" si="24"/>
        <v>748540</v>
      </c>
    </row>
    <row r="213" spans="1:17" x14ac:dyDescent="0.4">
      <c r="A213" s="30">
        <f>급여대장!A213</f>
        <v>46143</v>
      </c>
      <c r="B213" s="17">
        <v>18</v>
      </c>
      <c r="C213" s="25" t="str">
        <f>급여대장!D213</f>
        <v>온새미</v>
      </c>
      <c r="D213" s="24" t="str">
        <f>급여대장!E213</f>
        <v>현장지원</v>
      </c>
      <c r="E213" s="29">
        <f>급여대장!V213</f>
        <v>3200867</v>
      </c>
      <c r="F213" s="26">
        <f>TRUNC(MIN(MAX(E213,요율기준!$B$6),요율기준!$B$5)*요율기준!$B$4,-1)</f>
        <v>144030</v>
      </c>
      <c r="G213" s="26">
        <f t="shared" si="19"/>
        <v>144030</v>
      </c>
      <c r="H213" s="26">
        <f>TRUNC(E213*요율기준!$B$7,-1)</f>
        <v>113470</v>
      </c>
      <c r="I213" s="26">
        <f t="shared" si="20"/>
        <v>113470</v>
      </c>
      <c r="J213" s="26">
        <f>TRUNC(H213*요율기준!$B$8,-1)</f>
        <v>14690</v>
      </c>
      <c r="K213" s="26">
        <f t="shared" si="21"/>
        <v>14690</v>
      </c>
      <c r="L213" s="26">
        <f>TRUNC(E213*요율기준!$B$9,-1)</f>
        <v>28800</v>
      </c>
      <c r="M213" s="26">
        <f>TRUNC(E213*요율기준!$B$10,-1)</f>
        <v>36800</v>
      </c>
      <c r="N213" s="26">
        <f>TRUNC(E213*요율기준!$B$11,-1)</f>
        <v>47050</v>
      </c>
      <c r="O213" s="28">
        <f t="shared" si="22"/>
        <v>300990</v>
      </c>
      <c r="P213" s="28">
        <f t="shared" si="23"/>
        <v>356040</v>
      </c>
      <c r="Q213" s="28">
        <f t="shared" si="24"/>
        <v>657030</v>
      </c>
    </row>
    <row r="214" spans="1:17" x14ac:dyDescent="0.4">
      <c r="A214" s="30">
        <f>급여대장!A214</f>
        <v>46174</v>
      </c>
      <c r="B214" s="17">
        <v>18</v>
      </c>
      <c r="C214" s="25" t="str">
        <f>급여대장!D214</f>
        <v>온새미</v>
      </c>
      <c r="D214" s="24" t="str">
        <f>급여대장!E214</f>
        <v>현장지원</v>
      </c>
      <c r="E214" s="29">
        <f>급여대장!V214</f>
        <v>3317137</v>
      </c>
      <c r="F214" s="26">
        <f>TRUNC(MIN(MAX(E214,요율기준!$B$6),요율기준!$B$5)*요율기준!$B$4,-1)</f>
        <v>149270</v>
      </c>
      <c r="G214" s="26">
        <f t="shared" si="19"/>
        <v>149270</v>
      </c>
      <c r="H214" s="26">
        <f>TRUNC(E214*요율기준!$B$7,-1)</f>
        <v>117590</v>
      </c>
      <c r="I214" s="26">
        <f t="shared" si="20"/>
        <v>117590</v>
      </c>
      <c r="J214" s="26">
        <f>TRUNC(H214*요율기준!$B$8,-1)</f>
        <v>15220</v>
      </c>
      <c r="K214" s="26">
        <f t="shared" si="21"/>
        <v>15220</v>
      </c>
      <c r="L214" s="26">
        <f>TRUNC(E214*요율기준!$B$9,-1)</f>
        <v>29850</v>
      </c>
      <c r="M214" s="26">
        <f>TRUNC(E214*요율기준!$B$10,-1)</f>
        <v>38140</v>
      </c>
      <c r="N214" s="26">
        <f>TRUNC(E214*요율기준!$B$11,-1)</f>
        <v>48760</v>
      </c>
      <c r="O214" s="28">
        <f t="shared" si="22"/>
        <v>311930</v>
      </c>
      <c r="P214" s="28">
        <f t="shared" si="23"/>
        <v>368980</v>
      </c>
      <c r="Q214" s="28">
        <f t="shared" si="24"/>
        <v>680910</v>
      </c>
    </row>
    <row r="215" spans="1:17" x14ac:dyDescent="0.4">
      <c r="A215" s="30">
        <f>급여대장!A215</f>
        <v>46204</v>
      </c>
      <c r="B215" s="17">
        <v>18</v>
      </c>
      <c r="C215" s="25" t="str">
        <f>급여대장!D215</f>
        <v>온새미</v>
      </c>
      <c r="D215" s="24" t="str">
        <f>급여대장!E215</f>
        <v>현장지원</v>
      </c>
      <c r="E215" s="29">
        <f>급여대장!V215</f>
        <v>3433409</v>
      </c>
      <c r="F215" s="26">
        <f>TRUNC(MIN(MAX(E215,요율기준!$B$6),요율기준!$B$5)*요율기준!$B$4,-1)</f>
        <v>154500</v>
      </c>
      <c r="G215" s="26">
        <f t="shared" si="19"/>
        <v>154500</v>
      </c>
      <c r="H215" s="26">
        <f>TRUNC(E215*요율기준!$B$7,-1)</f>
        <v>121710</v>
      </c>
      <c r="I215" s="26">
        <f t="shared" si="20"/>
        <v>121710</v>
      </c>
      <c r="J215" s="26">
        <f>TRUNC(H215*요율기준!$B$8,-1)</f>
        <v>15760</v>
      </c>
      <c r="K215" s="26">
        <f t="shared" si="21"/>
        <v>15760</v>
      </c>
      <c r="L215" s="26">
        <f>TRUNC(E215*요율기준!$B$9,-1)</f>
        <v>30900</v>
      </c>
      <c r="M215" s="26">
        <f>TRUNC(E215*요율기준!$B$10,-1)</f>
        <v>39480</v>
      </c>
      <c r="N215" s="26">
        <f>TRUNC(E215*요율기준!$B$11,-1)</f>
        <v>50470</v>
      </c>
      <c r="O215" s="28">
        <f t="shared" si="22"/>
        <v>322870</v>
      </c>
      <c r="P215" s="28">
        <f t="shared" si="23"/>
        <v>381920</v>
      </c>
      <c r="Q215" s="28">
        <f t="shared" si="24"/>
        <v>704790</v>
      </c>
    </row>
    <row r="216" spans="1:17" x14ac:dyDescent="0.4">
      <c r="A216" s="30">
        <f>급여대장!A216</f>
        <v>46235</v>
      </c>
      <c r="B216" s="17">
        <v>18</v>
      </c>
      <c r="C216" s="25" t="str">
        <f>급여대장!D216</f>
        <v>온새미</v>
      </c>
      <c r="D216" s="24" t="str">
        <f>급여대장!E216</f>
        <v>현장지원</v>
      </c>
      <c r="E216" s="29">
        <f>급여대장!V216</f>
        <v>3549679</v>
      </c>
      <c r="F216" s="26">
        <f>TRUNC(MIN(MAX(E216,요율기준!$B$6),요율기준!$B$5)*요율기준!$B$4,-1)</f>
        <v>159730</v>
      </c>
      <c r="G216" s="26">
        <f t="shared" si="19"/>
        <v>159730</v>
      </c>
      <c r="H216" s="26">
        <f>TRUNC(E216*요율기준!$B$7,-1)</f>
        <v>125830</v>
      </c>
      <c r="I216" s="26">
        <f t="shared" si="20"/>
        <v>125830</v>
      </c>
      <c r="J216" s="26">
        <f>TRUNC(H216*요율기준!$B$8,-1)</f>
        <v>16290</v>
      </c>
      <c r="K216" s="26">
        <f t="shared" si="21"/>
        <v>16290</v>
      </c>
      <c r="L216" s="26">
        <f>TRUNC(E216*요율기준!$B$9,-1)</f>
        <v>31940</v>
      </c>
      <c r="M216" s="26">
        <f>TRUNC(E216*요율기준!$B$10,-1)</f>
        <v>40820</v>
      </c>
      <c r="N216" s="26">
        <f>TRUNC(E216*요율기준!$B$11,-1)</f>
        <v>52180</v>
      </c>
      <c r="O216" s="28">
        <f t="shared" si="22"/>
        <v>333790</v>
      </c>
      <c r="P216" s="28">
        <f t="shared" si="23"/>
        <v>394850</v>
      </c>
      <c r="Q216" s="28">
        <f t="shared" si="24"/>
        <v>728640</v>
      </c>
    </row>
    <row r="217" spans="1:17" x14ac:dyDescent="0.4">
      <c r="A217" s="30">
        <f>급여대장!A217</f>
        <v>46266</v>
      </c>
      <c r="B217" s="17">
        <v>18</v>
      </c>
      <c r="C217" s="25" t="str">
        <f>급여대장!D217</f>
        <v>온새미</v>
      </c>
      <c r="D217" s="24" t="str">
        <f>급여대장!E217</f>
        <v>현장지원</v>
      </c>
      <c r="E217" s="29">
        <f>급여대장!V217</f>
        <v>3588437</v>
      </c>
      <c r="F217" s="26">
        <f>TRUNC(MIN(MAX(E217,요율기준!$B$6),요율기준!$B$5)*요율기준!$B$4,-1)</f>
        <v>161470</v>
      </c>
      <c r="G217" s="26">
        <f t="shared" si="19"/>
        <v>161470</v>
      </c>
      <c r="H217" s="26">
        <f>TRUNC(E217*요율기준!$B$7,-1)</f>
        <v>127210</v>
      </c>
      <c r="I217" s="26">
        <f t="shared" si="20"/>
        <v>127210</v>
      </c>
      <c r="J217" s="26">
        <f>TRUNC(H217*요율기준!$B$8,-1)</f>
        <v>16470</v>
      </c>
      <c r="K217" s="26">
        <f t="shared" si="21"/>
        <v>16470</v>
      </c>
      <c r="L217" s="26">
        <f>TRUNC(E217*요율기준!$B$9,-1)</f>
        <v>32290</v>
      </c>
      <c r="M217" s="26">
        <f>TRUNC(E217*요율기준!$B$10,-1)</f>
        <v>41260</v>
      </c>
      <c r="N217" s="26">
        <f>TRUNC(E217*요율기준!$B$11,-1)</f>
        <v>52750</v>
      </c>
      <c r="O217" s="28">
        <f t="shared" si="22"/>
        <v>337440</v>
      </c>
      <c r="P217" s="28">
        <f t="shared" si="23"/>
        <v>399160</v>
      </c>
      <c r="Q217" s="28">
        <f t="shared" si="24"/>
        <v>736600</v>
      </c>
    </row>
    <row r="218" spans="1:17" x14ac:dyDescent="0.4">
      <c r="A218" s="30">
        <f>급여대장!A218</f>
        <v>46296</v>
      </c>
      <c r="B218" s="17">
        <v>18</v>
      </c>
      <c r="C218" s="25" t="str">
        <f>급여대장!D218</f>
        <v>온새미</v>
      </c>
      <c r="D218" s="24" t="str">
        <f>급여대장!E218</f>
        <v>현장지원</v>
      </c>
      <c r="E218" s="29">
        <f>급여대장!V218</f>
        <v>3220245</v>
      </c>
      <c r="F218" s="26">
        <f>TRUNC(MIN(MAX(E218,요율기준!$B$6),요율기준!$B$5)*요율기준!$B$4,-1)</f>
        <v>144910</v>
      </c>
      <c r="G218" s="26">
        <f t="shared" si="19"/>
        <v>144910</v>
      </c>
      <c r="H218" s="26">
        <f>TRUNC(E218*요율기준!$B$7,-1)</f>
        <v>114150</v>
      </c>
      <c r="I218" s="26">
        <f t="shared" si="20"/>
        <v>114150</v>
      </c>
      <c r="J218" s="26">
        <f>TRUNC(H218*요율기준!$B$8,-1)</f>
        <v>14780</v>
      </c>
      <c r="K218" s="26">
        <f t="shared" si="21"/>
        <v>14780</v>
      </c>
      <c r="L218" s="26">
        <f>TRUNC(E218*요율기준!$B$9,-1)</f>
        <v>28980</v>
      </c>
      <c r="M218" s="26">
        <f>TRUNC(E218*요율기준!$B$10,-1)</f>
        <v>37030</v>
      </c>
      <c r="N218" s="26">
        <f>TRUNC(E218*요율기준!$B$11,-1)</f>
        <v>47330</v>
      </c>
      <c r="O218" s="28">
        <f t="shared" si="22"/>
        <v>302820</v>
      </c>
      <c r="P218" s="28">
        <f t="shared" si="23"/>
        <v>358200</v>
      </c>
      <c r="Q218" s="28">
        <f t="shared" si="24"/>
        <v>661020</v>
      </c>
    </row>
    <row r="219" spans="1:17" x14ac:dyDescent="0.4">
      <c r="A219" s="30">
        <f>급여대장!A219</f>
        <v>46327</v>
      </c>
      <c r="B219" s="17">
        <v>18</v>
      </c>
      <c r="C219" s="25" t="str">
        <f>급여대장!D219</f>
        <v>온새미</v>
      </c>
      <c r="D219" s="24" t="str">
        <f>급여대장!E219</f>
        <v>현장지원</v>
      </c>
      <c r="E219" s="29">
        <f>급여대장!V219</f>
        <v>3336516</v>
      </c>
      <c r="F219" s="26">
        <f>TRUNC(MIN(MAX(E219,요율기준!$B$6),요율기준!$B$5)*요율기준!$B$4,-1)</f>
        <v>150140</v>
      </c>
      <c r="G219" s="26">
        <f t="shared" si="19"/>
        <v>150140</v>
      </c>
      <c r="H219" s="26">
        <f>TRUNC(E219*요율기준!$B$7,-1)</f>
        <v>118270</v>
      </c>
      <c r="I219" s="26">
        <f t="shared" si="20"/>
        <v>118270</v>
      </c>
      <c r="J219" s="26">
        <f>TRUNC(H219*요율기준!$B$8,-1)</f>
        <v>15310</v>
      </c>
      <c r="K219" s="26">
        <f t="shared" si="21"/>
        <v>15310</v>
      </c>
      <c r="L219" s="26">
        <f>TRUNC(E219*요율기준!$B$9,-1)</f>
        <v>30020</v>
      </c>
      <c r="M219" s="26">
        <f>TRUNC(E219*요율기준!$B$10,-1)</f>
        <v>38360</v>
      </c>
      <c r="N219" s="26">
        <f>TRUNC(E219*요율기준!$B$11,-1)</f>
        <v>49040</v>
      </c>
      <c r="O219" s="28">
        <f t="shared" si="22"/>
        <v>313740</v>
      </c>
      <c r="P219" s="28">
        <f t="shared" si="23"/>
        <v>371120</v>
      </c>
      <c r="Q219" s="28">
        <f t="shared" si="24"/>
        <v>684860</v>
      </c>
    </row>
    <row r="220" spans="1:17" x14ac:dyDescent="0.4">
      <c r="A220" s="30">
        <f>급여대장!A220</f>
        <v>46357</v>
      </c>
      <c r="B220" s="17">
        <v>18</v>
      </c>
      <c r="C220" s="25" t="str">
        <f>급여대장!D220</f>
        <v>온새미</v>
      </c>
      <c r="D220" s="24" t="str">
        <f>급여대장!E220</f>
        <v>현장지원</v>
      </c>
      <c r="E220" s="29">
        <f>급여대장!V220</f>
        <v>3452787</v>
      </c>
      <c r="F220" s="26">
        <f>TRUNC(MIN(MAX(E220,요율기준!$B$6),요율기준!$B$5)*요율기준!$B$4,-1)</f>
        <v>155370</v>
      </c>
      <c r="G220" s="26">
        <f t="shared" si="19"/>
        <v>155370</v>
      </c>
      <c r="H220" s="26">
        <f>TRUNC(E220*요율기준!$B$7,-1)</f>
        <v>122400</v>
      </c>
      <c r="I220" s="26">
        <f t="shared" si="20"/>
        <v>122400</v>
      </c>
      <c r="J220" s="26">
        <f>TRUNC(H220*요율기준!$B$8,-1)</f>
        <v>15850</v>
      </c>
      <c r="K220" s="26">
        <f t="shared" si="21"/>
        <v>15850</v>
      </c>
      <c r="L220" s="26">
        <f>TRUNC(E220*요율기준!$B$9,-1)</f>
        <v>31070</v>
      </c>
      <c r="M220" s="26">
        <f>TRUNC(E220*요율기준!$B$10,-1)</f>
        <v>39700</v>
      </c>
      <c r="N220" s="26">
        <f>TRUNC(E220*요율기준!$B$11,-1)</f>
        <v>50750</v>
      </c>
      <c r="O220" s="28">
        <f t="shared" si="22"/>
        <v>324690</v>
      </c>
      <c r="P220" s="28">
        <f t="shared" si="23"/>
        <v>384070</v>
      </c>
      <c r="Q220" s="28">
        <f t="shared" si="24"/>
        <v>708760</v>
      </c>
    </row>
  </sheetData>
  <autoFilter ref="A4:Q220" xr:uid="{00000000-0009-0000-0000-000004000000}"/>
  <mergeCells count="8">
    <mergeCell ref="A3:D3"/>
    <mergeCell ref="O3:Q3"/>
    <mergeCell ref="H3:I3"/>
    <mergeCell ref="F3:G3"/>
    <mergeCell ref="L3:M3"/>
    <mergeCell ref="J3:K3"/>
    <mergeCell ref="E3"/>
    <mergeCell ref="N3"/>
  </mergeCells>
  <phoneticPr fontId="1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20"/>
  <sheetViews>
    <sheetView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9" customWidth="1"/>
    <col min="2" max="2" width="4" customWidth="1"/>
    <col min="3" max="3" width="8" customWidth="1"/>
    <col min="4" max="4" width="7" customWidth="1"/>
    <col min="5" max="5" width="12" customWidth="1"/>
    <col min="6" max="6" width="13" customWidth="1"/>
    <col min="7" max="8" width="12" customWidth="1"/>
    <col min="9" max="9" width="11" customWidth="1"/>
    <col min="10" max="12" width="12" customWidth="1"/>
    <col min="13" max="13" width="13" customWidth="1"/>
    <col min="14" max="14" width="12" customWidth="1"/>
    <col min="15" max="15" width="13" customWidth="1"/>
    <col min="16" max="16" width="11" customWidth="1"/>
    <col min="17" max="17" width="12" customWidth="1"/>
    <col min="18" max="18" width="13" customWidth="1"/>
  </cols>
  <sheetData>
    <row r="1" spans="1:18" ht="21" x14ac:dyDescent="0.4">
      <c r="A1" s="5" t="s">
        <v>206</v>
      </c>
    </row>
    <row r="2" spans="1:18" x14ac:dyDescent="0.4">
      <c r="A2" s="2" t="s">
        <v>207</v>
      </c>
      <c r="E2" s="21">
        <f>SUBTOTAL(109,E5:E220)</f>
        <v>999745137</v>
      </c>
      <c r="P2" s="21">
        <f>SUBTOTAL(109,P5:P220)</f>
        <v>57938410</v>
      </c>
      <c r="Q2" s="21">
        <f>SUBTOTAL(109,Q5:Q220)</f>
        <v>5792900</v>
      </c>
      <c r="R2" s="21">
        <f>SUBTOTAL(109,R5:R220)</f>
        <v>63731310</v>
      </c>
    </row>
    <row r="4" spans="1:18" ht="31.2" x14ac:dyDescent="0.4">
      <c r="A4" s="6" t="s">
        <v>170</v>
      </c>
      <c r="B4" s="6" t="s">
        <v>57</v>
      </c>
      <c r="C4" s="6" t="s">
        <v>59</v>
      </c>
      <c r="D4" s="6" t="s">
        <v>208</v>
      </c>
      <c r="E4" s="6" t="s">
        <v>209</v>
      </c>
      <c r="F4" s="6" t="s">
        <v>210</v>
      </c>
      <c r="G4" s="6" t="s">
        <v>211</v>
      </c>
      <c r="H4" s="6" t="s">
        <v>212</v>
      </c>
      <c r="I4" s="6" t="s">
        <v>213</v>
      </c>
      <c r="J4" s="6" t="s">
        <v>214</v>
      </c>
      <c r="K4" s="6" t="s">
        <v>215</v>
      </c>
      <c r="L4" s="6" t="s">
        <v>216</v>
      </c>
      <c r="M4" s="6" t="s">
        <v>217</v>
      </c>
      <c r="N4" s="6" t="s">
        <v>218</v>
      </c>
      <c r="O4" s="6" t="s">
        <v>219</v>
      </c>
      <c r="P4" s="6" t="s">
        <v>220</v>
      </c>
      <c r="Q4" s="6" t="s">
        <v>221</v>
      </c>
      <c r="R4" s="6" t="s">
        <v>222</v>
      </c>
    </row>
    <row r="5" spans="1:18" x14ac:dyDescent="0.4">
      <c r="A5" s="30">
        <f>급여대장!A5</f>
        <v>46023</v>
      </c>
      <c r="B5" s="17">
        <v>1</v>
      </c>
      <c r="C5" s="25" t="str">
        <f>급여대장!D5</f>
        <v>가온누리</v>
      </c>
      <c r="D5" s="31">
        <f>직원정보!I5</f>
        <v>1</v>
      </c>
      <c r="E5" s="29">
        <f>급여대장!V5</f>
        <v>7100000</v>
      </c>
      <c r="F5" s="26">
        <f t="shared" ref="F5:F68" si="0">E5*12</f>
        <v>85200000</v>
      </c>
      <c r="G5" s="26">
        <f t="shared" ref="G5:G68" si="1">MIN(20000000,IF(F5&lt;=5000000,F5*0.7,IF(F5&lt;=15000000,3500000+(F5-5000000)*0.4,IF(F5&lt;=45000000,7500000+(F5-15000000)*0.15,IF(F5&lt;=100000000,12000000+(F5-45000000)*0.05,14750000+(F5-100000000)*0.02)))))</f>
        <v>14010000</v>
      </c>
      <c r="H5" s="26">
        <f t="shared" ref="H5:H68" si="2">F5-G5</f>
        <v>71190000</v>
      </c>
      <c r="I5" s="26">
        <f>D5*요율기준!$B$13</f>
        <v>1500000</v>
      </c>
      <c r="J5" s="29">
        <f>'4대보험'!F5*12</f>
        <v>3439800</v>
      </c>
      <c r="K5" s="26">
        <f t="shared" ref="K5:K68" si="3">IF(D5=1,3100000+F5*0.04,IF(D5=2,3600000+F5*0.04,5000000+F5*0.07))</f>
        <v>6508000</v>
      </c>
      <c r="L5" s="26">
        <f t="shared" ref="L5:L68" si="4">MAX(0,H5-I5-J5-K5)</f>
        <v>59742200</v>
      </c>
      <c r="M5" s="26">
        <f t="shared" ref="M5:M68" si="5">IF(L5&lt;=14000000,L5*0.06,IF(L5&lt;=50000000,840000+(L5-14000000)*0.15,IF(L5&lt;=88000000,6240000+(L5-50000000)*0.24,IF(L5&lt;=150000000,15360000+(L5-88000000)*0.35,IF(L5&lt;=300000000,37060000+(L5-150000000)*0.38,IF(L5&lt;=500000000,94060000+(L5-300000000)*0.4,IF(L5&lt;=1000000000,174060000+(L5-500000000)*0.42,384060000+(L5-1000000000)*0.45)))))))</f>
        <v>8578128</v>
      </c>
      <c r="N5" s="26">
        <f t="shared" ref="N5:N68" si="6">MIN(IF(M5&lt;=1300000,M5*0.55,715000+(M5-1300000)*0.3),IF(F5&lt;=33000000,740000,IF(F5&lt;=70000000,MAX(660000,740000-(F5-33000000)*0.008),MAX(500000,660000-(F5-70000000)*0.5))))</f>
        <v>500000</v>
      </c>
      <c r="O5" s="26">
        <f t="shared" ref="O5:O68" si="7">MAX(0,M5-N5)</f>
        <v>8078128</v>
      </c>
      <c r="P5" s="28">
        <f t="shared" ref="P5:P68" si="8">TRUNC(O5/12,-1)</f>
        <v>673170</v>
      </c>
      <c r="Q5" s="28">
        <f>TRUNC(P5*요율기준!$B$12,-1)</f>
        <v>67310</v>
      </c>
      <c r="R5" s="28">
        <f t="shared" ref="R5:R68" si="9">P5+Q5</f>
        <v>740480</v>
      </c>
    </row>
    <row r="6" spans="1:18" x14ac:dyDescent="0.4">
      <c r="A6" s="30">
        <f>급여대장!A6</f>
        <v>46054</v>
      </c>
      <c r="B6" s="17">
        <v>1</v>
      </c>
      <c r="C6" s="25" t="str">
        <f>급여대장!D6</f>
        <v>가온누리</v>
      </c>
      <c r="D6" s="31">
        <f>직원정보!I5</f>
        <v>1</v>
      </c>
      <c r="E6" s="29">
        <f>급여대장!V6</f>
        <v>7286600</v>
      </c>
      <c r="F6" s="26">
        <f t="shared" si="0"/>
        <v>87439200</v>
      </c>
      <c r="G6" s="26">
        <f t="shared" si="1"/>
        <v>14121960</v>
      </c>
      <c r="H6" s="26">
        <f t="shared" si="2"/>
        <v>73317240</v>
      </c>
      <c r="I6" s="26">
        <f>D6*요율기준!$B$13</f>
        <v>1500000</v>
      </c>
      <c r="J6" s="29">
        <f>'4대보험'!F6*12</f>
        <v>3439800</v>
      </c>
      <c r="K6" s="26">
        <f t="shared" si="3"/>
        <v>6597568</v>
      </c>
      <c r="L6" s="26">
        <f t="shared" si="4"/>
        <v>61779872</v>
      </c>
      <c r="M6" s="26">
        <f t="shared" si="5"/>
        <v>9067169.2799999993</v>
      </c>
      <c r="N6" s="26">
        <f t="shared" si="6"/>
        <v>500000</v>
      </c>
      <c r="O6" s="26">
        <f t="shared" si="7"/>
        <v>8567169.2799999993</v>
      </c>
      <c r="P6" s="28">
        <f t="shared" si="8"/>
        <v>713930</v>
      </c>
      <c r="Q6" s="28">
        <f>TRUNC(P6*요율기준!$B$12,-1)</f>
        <v>71390</v>
      </c>
      <c r="R6" s="28">
        <f t="shared" si="9"/>
        <v>785320</v>
      </c>
    </row>
    <row r="7" spans="1:18" x14ac:dyDescent="0.4">
      <c r="A7" s="30">
        <f>급여대장!A7</f>
        <v>46082</v>
      </c>
      <c r="B7" s="17">
        <v>1</v>
      </c>
      <c r="C7" s="25" t="str">
        <f>급여대장!D7</f>
        <v>가온누리</v>
      </c>
      <c r="D7" s="31">
        <f>직원정보!I5</f>
        <v>1</v>
      </c>
      <c r="E7" s="29">
        <f>급여대장!V7</f>
        <v>7100000</v>
      </c>
      <c r="F7" s="26">
        <f t="shared" si="0"/>
        <v>85200000</v>
      </c>
      <c r="G7" s="26">
        <f t="shared" si="1"/>
        <v>14010000</v>
      </c>
      <c r="H7" s="26">
        <f t="shared" si="2"/>
        <v>71190000</v>
      </c>
      <c r="I7" s="26">
        <f>D7*요율기준!$B$13</f>
        <v>1500000</v>
      </c>
      <c r="J7" s="29">
        <f>'4대보험'!F7*12</f>
        <v>3439800</v>
      </c>
      <c r="K7" s="26">
        <f t="shared" si="3"/>
        <v>6508000</v>
      </c>
      <c r="L7" s="26">
        <f t="shared" si="4"/>
        <v>59742200</v>
      </c>
      <c r="M7" s="26">
        <f t="shared" si="5"/>
        <v>8578128</v>
      </c>
      <c r="N7" s="26">
        <f t="shared" si="6"/>
        <v>500000</v>
      </c>
      <c r="O7" s="26">
        <f t="shared" si="7"/>
        <v>8078128</v>
      </c>
      <c r="P7" s="28">
        <f t="shared" si="8"/>
        <v>673170</v>
      </c>
      <c r="Q7" s="28">
        <f>TRUNC(P7*요율기준!$B$12,-1)</f>
        <v>67310</v>
      </c>
      <c r="R7" s="28">
        <f t="shared" si="9"/>
        <v>740480</v>
      </c>
    </row>
    <row r="8" spans="1:18" x14ac:dyDescent="0.4">
      <c r="A8" s="30">
        <f>급여대장!A8</f>
        <v>46113</v>
      </c>
      <c r="B8" s="17">
        <v>1</v>
      </c>
      <c r="C8" s="25" t="str">
        <f>급여대장!D8</f>
        <v>가온누리</v>
      </c>
      <c r="D8" s="31">
        <f>직원정보!I5</f>
        <v>1</v>
      </c>
      <c r="E8" s="29">
        <f>급여대장!V8</f>
        <v>7286600</v>
      </c>
      <c r="F8" s="26">
        <f t="shared" si="0"/>
        <v>87439200</v>
      </c>
      <c r="G8" s="26">
        <f t="shared" si="1"/>
        <v>14121960</v>
      </c>
      <c r="H8" s="26">
        <f t="shared" si="2"/>
        <v>73317240</v>
      </c>
      <c r="I8" s="26">
        <f>D8*요율기준!$B$13</f>
        <v>1500000</v>
      </c>
      <c r="J8" s="29">
        <f>'4대보험'!F8*12</f>
        <v>3439800</v>
      </c>
      <c r="K8" s="26">
        <f t="shared" si="3"/>
        <v>6597568</v>
      </c>
      <c r="L8" s="26">
        <f t="shared" si="4"/>
        <v>61779872</v>
      </c>
      <c r="M8" s="26">
        <f t="shared" si="5"/>
        <v>9067169.2799999993</v>
      </c>
      <c r="N8" s="26">
        <f t="shared" si="6"/>
        <v>500000</v>
      </c>
      <c r="O8" s="26">
        <f t="shared" si="7"/>
        <v>8567169.2799999993</v>
      </c>
      <c r="P8" s="28">
        <f t="shared" si="8"/>
        <v>713930</v>
      </c>
      <c r="Q8" s="28">
        <f>TRUNC(P8*요율기준!$B$12,-1)</f>
        <v>71390</v>
      </c>
      <c r="R8" s="28">
        <f t="shared" si="9"/>
        <v>785320</v>
      </c>
    </row>
    <row r="9" spans="1:18" x14ac:dyDescent="0.4">
      <c r="A9" s="30">
        <f>급여대장!A9</f>
        <v>46143</v>
      </c>
      <c r="B9" s="17">
        <v>1</v>
      </c>
      <c r="C9" s="25" t="str">
        <f>급여대장!D9</f>
        <v>가온누리</v>
      </c>
      <c r="D9" s="31">
        <f>직원정보!I5</f>
        <v>1</v>
      </c>
      <c r="E9" s="29">
        <f>급여대장!V9</f>
        <v>7100000</v>
      </c>
      <c r="F9" s="26">
        <f t="shared" si="0"/>
        <v>85200000</v>
      </c>
      <c r="G9" s="26">
        <f t="shared" si="1"/>
        <v>14010000</v>
      </c>
      <c r="H9" s="26">
        <f t="shared" si="2"/>
        <v>71190000</v>
      </c>
      <c r="I9" s="26">
        <f>D9*요율기준!$B$13</f>
        <v>1500000</v>
      </c>
      <c r="J9" s="29">
        <f>'4대보험'!F9*12</f>
        <v>3439800</v>
      </c>
      <c r="K9" s="26">
        <f t="shared" si="3"/>
        <v>6508000</v>
      </c>
      <c r="L9" s="26">
        <f t="shared" si="4"/>
        <v>59742200</v>
      </c>
      <c r="M9" s="26">
        <f t="shared" si="5"/>
        <v>8578128</v>
      </c>
      <c r="N9" s="26">
        <f t="shared" si="6"/>
        <v>500000</v>
      </c>
      <c r="O9" s="26">
        <f t="shared" si="7"/>
        <v>8078128</v>
      </c>
      <c r="P9" s="28">
        <f t="shared" si="8"/>
        <v>673170</v>
      </c>
      <c r="Q9" s="28">
        <f>TRUNC(P9*요율기준!$B$12,-1)</f>
        <v>67310</v>
      </c>
      <c r="R9" s="28">
        <f t="shared" si="9"/>
        <v>740480</v>
      </c>
    </row>
    <row r="10" spans="1:18" x14ac:dyDescent="0.4">
      <c r="A10" s="30">
        <f>급여대장!A10</f>
        <v>46174</v>
      </c>
      <c r="B10" s="17">
        <v>1</v>
      </c>
      <c r="C10" s="25" t="str">
        <f>급여대장!D10</f>
        <v>가온누리</v>
      </c>
      <c r="D10" s="31">
        <f>직원정보!I5</f>
        <v>1</v>
      </c>
      <c r="E10" s="29">
        <f>급여대장!V10</f>
        <v>7286600</v>
      </c>
      <c r="F10" s="26">
        <f t="shared" si="0"/>
        <v>87439200</v>
      </c>
      <c r="G10" s="26">
        <f t="shared" si="1"/>
        <v>14121960</v>
      </c>
      <c r="H10" s="26">
        <f t="shared" si="2"/>
        <v>73317240</v>
      </c>
      <c r="I10" s="26">
        <f>D10*요율기준!$B$13</f>
        <v>1500000</v>
      </c>
      <c r="J10" s="29">
        <f>'4대보험'!F10*12</f>
        <v>3439800</v>
      </c>
      <c r="K10" s="26">
        <f t="shared" si="3"/>
        <v>6597568</v>
      </c>
      <c r="L10" s="26">
        <f t="shared" si="4"/>
        <v>61779872</v>
      </c>
      <c r="M10" s="26">
        <f t="shared" si="5"/>
        <v>9067169.2799999993</v>
      </c>
      <c r="N10" s="26">
        <f t="shared" si="6"/>
        <v>500000</v>
      </c>
      <c r="O10" s="26">
        <f t="shared" si="7"/>
        <v>8567169.2799999993</v>
      </c>
      <c r="P10" s="28">
        <f t="shared" si="8"/>
        <v>713930</v>
      </c>
      <c r="Q10" s="28">
        <f>TRUNC(P10*요율기준!$B$12,-1)</f>
        <v>71390</v>
      </c>
      <c r="R10" s="28">
        <f t="shared" si="9"/>
        <v>785320</v>
      </c>
    </row>
    <row r="11" spans="1:18" x14ac:dyDescent="0.4">
      <c r="A11" s="30">
        <f>급여대장!A11</f>
        <v>46204</v>
      </c>
      <c r="B11" s="17">
        <v>1</v>
      </c>
      <c r="C11" s="25" t="str">
        <f>급여대장!D11</f>
        <v>가온누리</v>
      </c>
      <c r="D11" s="31">
        <f>직원정보!I5</f>
        <v>1</v>
      </c>
      <c r="E11" s="29">
        <f>급여대장!V11</f>
        <v>7100000</v>
      </c>
      <c r="F11" s="26">
        <f t="shared" si="0"/>
        <v>85200000</v>
      </c>
      <c r="G11" s="26">
        <f t="shared" si="1"/>
        <v>14010000</v>
      </c>
      <c r="H11" s="26">
        <f t="shared" si="2"/>
        <v>71190000</v>
      </c>
      <c r="I11" s="26">
        <f>D11*요율기준!$B$13</f>
        <v>1500000</v>
      </c>
      <c r="J11" s="29">
        <f>'4대보험'!F11*12</f>
        <v>3439800</v>
      </c>
      <c r="K11" s="26">
        <f t="shared" si="3"/>
        <v>6508000</v>
      </c>
      <c r="L11" s="26">
        <f t="shared" si="4"/>
        <v>59742200</v>
      </c>
      <c r="M11" s="26">
        <f t="shared" si="5"/>
        <v>8578128</v>
      </c>
      <c r="N11" s="26">
        <f t="shared" si="6"/>
        <v>500000</v>
      </c>
      <c r="O11" s="26">
        <f t="shared" si="7"/>
        <v>8078128</v>
      </c>
      <c r="P11" s="28">
        <f t="shared" si="8"/>
        <v>673170</v>
      </c>
      <c r="Q11" s="28">
        <f>TRUNC(P11*요율기준!$B$12,-1)</f>
        <v>67310</v>
      </c>
      <c r="R11" s="28">
        <f t="shared" si="9"/>
        <v>740480</v>
      </c>
    </row>
    <row r="12" spans="1:18" x14ac:dyDescent="0.4">
      <c r="A12" s="30">
        <f>급여대장!A12</f>
        <v>46235</v>
      </c>
      <c r="B12" s="17">
        <v>1</v>
      </c>
      <c r="C12" s="25" t="str">
        <f>급여대장!D12</f>
        <v>가온누리</v>
      </c>
      <c r="D12" s="31">
        <f>직원정보!I5</f>
        <v>1</v>
      </c>
      <c r="E12" s="29">
        <f>급여대장!V12</f>
        <v>7286600</v>
      </c>
      <c r="F12" s="26">
        <f t="shared" si="0"/>
        <v>87439200</v>
      </c>
      <c r="G12" s="26">
        <f t="shared" si="1"/>
        <v>14121960</v>
      </c>
      <c r="H12" s="26">
        <f t="shared" si="2"/>
        <v>73317240</v>
      </c>
      <c r="I12" s="26">
        <f>D12*요율기준!$B$13</f>
        <v>1500000</v>
      </c>
      <c r="J12" s="29">
        <f>'4대보험'!F12*12</f>
        <v>3439800</v>
      </c>
      <c r="K12" s="26">
        <f t="shared" si="3"/>
        <v>6597568</v>
      </c>
      <c r="L12" s="26">
        <f t="shared" si="4"/>
        <v>61779872</v>
      </c>
      <c r="M12" s="26">
        <f t="shared" si="5"/>
        <v>9067169.2799999993</v>
      </c>
      <c r="N12" s="26">
        <f t="shared" si="6"/>
        <v>500000</v>
      </c>
      <c r="O12" s="26">
        <f t="shared" si="7"/>
        <v>8567169.2799999993</v>
      </c>
      <c r="P12" s="28">
        <f t="shared" si="8"/>
        <v>713930</v>
      </c>
      <c r="Q12" s="28">
        <f>TRUNC(P12*요율기준!$B$12,-1)</f>
        <v>71390</v>
      </c>
      <c r="R12" s="28">
        <f t="shared" si="9"/>
        <v>785320</v>
      </c>
    </row>
    <row r="13" spans="1:18" x14ac:dyDescent="0.4">
      <c r="A13" s="30">
        <f>급여대장!A13</f>
        <v>46266</v>
      </c>
      <c r="B13" s="17">
        <v>1</v>
      </c>
      <c r="C13" s="25" t="str">
        <f>급여대장!D13</f>
        <v>가온누리</v>
      </c>
      <c r="D13" s="31">
        <f>직원정보!I5</f>
        <v>1</v>
      </c>
      <c r="E13" s="29">
        <f>급여대장!V13</f>
        <v>7100000</v>
      </c>
      <c r="F13" s="26">
        <f t="shared" si="0"/>
        <v>85200000</v>
      </c>
      <c r="G13" s="26">
        <f t="shared" si="1"/>
        <v>14010000</v>
      </c>
      <c r="H13" s="26">
        <f t="shared" si="2"/>
        <v>71190000</v>
      </c>
      <c r="I13" s="26">
        <f>D13*요율기준!$B$13</f>
        <v>1500000</v>
      </c>
      <c r="J13" s="29">
        <f>'4대보험'!F13*12</f>
        <v>3439800</v>
      </c>
      <c r="K13" s="26">
        <f t="shared" si="3"/>
        <v>6508000</v>
      </c>
      <c r="L13" s="26">
        <f t="shared" si="4"/>
        <v>59742200</v>
      </c>
      <c r="M13" s="26">
        <f t="shared" si="5"/>
        <v>8578128</v>
      </c>
      <c r="N13" s="26">
        <f t="shared" si="6"/>
        <v>500000</v>
      </c>
      <c r="O13" s="26">
        <f t="shared" si="7"/>
        <v>8078128</v>
      </c>
      <c r="P13" s="28">
        <f t="shared" si="8"/>
        <v>673170</v>
      </c>
      <c r="Q13" s="28">
        <f>TRUNC(P13*요율기준!$B$12,-1)</f>
        <v>67310</v>
      </c>
      <c r="R13" s="28">
        <f t="shared" si="9"/>
        <v>740480</v>
      </c>
    </row>
    <row r="14" spans="1:18" x14ac:dyDescent="0.4">
      <c r="A14" s="30">
        <f>급여대장!A14</f>
        <v>46296</v>
      </c>
      <c r="B14" s="17">
        <v>1</v>
      </c>
      <c r="C14" s="25" t="str">
        <f>급여대장!D14</f>
        <v>가온누리</v>
      </c>
      <c r="D14" s="31">
        <f>직원정보!I5</f>
        <v>1</v>
      </c>
      <c r="E14" s="29">
        <f>급여대장!V14</f>
        <v>7286600</v>
      </c>
      <c r="F14" s="26">
        <f t="shared" si="0"/>
        <v>87439200</v>
      </c>
      <c r="G14" s="26">
        <f t="shared" si="1"/>
        <v>14121960</v>
      </c>
      <c r="H14" s="26">
        <f t="shared" si="2"/>
        <v>73317240</v>
      </c>
      <c r="I14" s="26">
        <f>D14*요율기준!$B$13</f>
        <v>1500000</v>
      </c>
      <c r="J14" s="29">
        <f>'4대보험'!F14*12</f>
        <v>3439800</v>
      </c>
      <c r="K14" s="26">
        <f t="shared" si="3"/>
        <v>6597568</v>
      </c>
      <c r="L14" s="26">
        <f t="shared" si="4"/>
        <v>61779872</v>
      </c>
      <c r="M14" s="26">
        <f t="shared" si="5"/>
        <v>9067169.2799999993</v>
      </c>
      <c r="N14" s="26">
        <f t="shared" si="6"/>
        <v>500000</v>
      </c>
      <c r="O14" s="26">
        <f t="shared" si="7"/>
        <v>8567169.2799999993</v>
      </c>
      <c r="P14" s="28">
        <f t="shared" si="8"/>
        <v>713930</v>
      </c>
      <c r="Q14" s="28">
        <f>TRUNC(P14*요율기준!$B$12,-1)</f>
        <v>71390</v>
      </c>
      <c r="R14" s="28">
        <f t="shared" si="9"/>
        <v>785320</v>
      </c>
    </row>
    <row r="15" spans="1:18" x14ac:dyDescent="0.4">
      <c r="A15" s="30">
        <f>급여대장!A15</f>
        <v>46327</v>
      </c>
      <c r="B15" s="17">
        <v>1</v>
      </c>
      <c r="C15" s="25" t="str">
        <f>급여대장!D15</f>
        <v>가온누리</v>
      </c>
      <c r="D15" s="31">
        <f>직원정보!I5</f>
        <v>1</v>
      </c>
      <c r="E15" s="29">
        <f>급여대장!V15</f>
        <v>7100000</v>
      </c>
      <c r="F15" s="26">
        <f t="shared" si="0"/>
        <v>85200000</v>
      </c>
      <c r="G15" s="26">
        <f t="shared" si="1"/>
        <v>14010000</v>
      </c>
      <c r="H15" s="26">
        <f t="shared" si="2"/>
        <v>71190000</v>
      </c>
      <c r="I15" s="26">
        <f>D15*요율기준!$B$13</f>
        <v>1500000</v>
      </c>
      <c r="J15" s="29">
        <f>'4대보험'!F15*12</f>
        <v>3439800</v>
      </c>
      <c r="K15" s="26">
        <f t="shared" si="3"/>
        <v>6508000</v>
      </c>
      <c r="L15" s="26">
        <f t="shared" si="4"/>
        <v>59742200</v>
      </c>
      <c r="M15" s="26">
        <f t="shared" si="5"/>
        <v>8578128</v>
      </c>
      <c r="N15" s="26">
        <f t="shared" si="6"/>
        <v>500000</v>
      </c>
      <c r="O15" s="26">
        <f t="shared" si="7"/>
        <v>8078128</v>
      </c>
      <c r="P15" s="28">
        <f t="shared" si="8"/>
        <v>673170</v>
      </c>
      <c r="Q15" s="28">
        <f>TRUNC(P15*요율기준!$B$12,-1)</f>
        <v>67310</v>
      </c>
      <c r="R15" s="28">
        <f t="shared" si="9"/>
        <v>740480</v>
      </c>
    </row>
    <row r="16" spans="1:18" x14ac:dyDescent="0.4">
      <c r="A16" s="30">
        <f>급여대장!A16</f>
        <v>46357</v>
      </c>
      <c r="B16" s="17">
        <v>1</v>
      </c>
      <c r="C16" s="25" t="str">
        <f>급여대장!D16</f>
        <v>가온누리</v>
      </c>
      <c r="D16" s="31">
        <f>직원정보!I5</f>
        <v>1</v>
      </c>
      <c r="E16" s="29">
        <f>급여대장!V16</f>
        <v>7286600</v>
      </c>
      <c r="F16" s="26">
        <f t="shared" si="0"/>
        <v>87439200</v>
      </c>
      <c r="G16" s="26">
        <f t="shared" si="1"/>
        <v>14121960</v>
      </c>
      <c r="H16" s="26">
        <f t="shared" si="2"/>
        <v>73317240</v>
      </c>
      <c r="I16" s="26">
        <f>D16*요율기준!$B$13</f>
        <v>1500000</v>
      </c>
      <c r="J16" s="29">
        <f>'4대보험'!F16*12</f>
        <v>3439800</v>
      </c>
      <c r="K16" s="26">
        <f t="shared" si="3"/>
        <v>6597568</v>
      </c>
      <c r="L16" s="26">
        <f t="shared" si="4"/>
        <v>61779872</v>
      </c>
      <c r="M16" s="26">
        <f t="shared" si="5"/>
        <v>9067169.2799999993</v>
      </c>
      <c r="N16" s="26">
        <f t="shared" si="6"/>
        <v>500000</v>
      </c>
      <c r="O16" s="26">
        <f t="shared" si="7"/>
        <v>8567169.2799999993</v>
      </c>
      <c r="P16" s="28">
        <f t="shared" si="8"/>
        <v>713930</v>
      </c>
      <c r="Q16" s="28">
        <f>TRUNC(P16*요율기준!$B$12,-1)</f>
        <v>71390</v>
      </c>
      <c r="R16" s="28">
        <f t="shared" si="9"/>
        <v>785320</v>
      </c>
    </row>
    <row r="17" spans="1:18" x14ac:dyDescent="0.4">
      <c r="A17" s="30">
        <f>급여대장!A17</f>
        <v>46023</v>
      </c>
      <c r="B17" s="17">
        <v>2</v>
      </c>
      <c r="C17" s="25" t="str">
        <f>급여대장!D17</f>
        <v>나래솔</v>
      </c>
      <c r="D17" s="31">
        <f>직원정보!I6</f>
        <v>1</v>
      </c>
      <c r="E17" s="29">
        <f>급여대장!V17</f>
        <v>5749280</v>
      </c>
      <c r="F17" s="26">
        <f t="shared" si="0"/>
        <v>68991360</v>
      </c>
      <c r="G17" s="26">
        <f t="shared" si="1"/>
        <v>13199568</v>
      </c>
      <c r="H17" s="26">
        <f t="shared" si="2"/>
        <v>55791792</v>
      </c>
      <c r="I17" s="26">
        <f>D17*요율기준!$B$13</f>
        <v>1500000</v>
      </c>
      <c r="J17" s="29">
        <f>'4대보험'!F17*12</f>
        <v>3104520</v>
      </c>
      <c r="K17" s="26">
        <f t="shared" si="3"/>
        <v>5859654.4000000004</v>
      </c>
      <c r="L17" s="26">
        <f t="shared" si="4"/>
        <v>45327617.600000001</v>
      </c>
      <c r="M17" s="26">
        <f t="shared" si="5"/>
        <v>5539142.6399999997</v>
      </c>
      <c r="N17" s="26">
        <f t="shared" si="6"/>
        <v>660000</v>
      </c>
      <c r="O17" s="26">
        <f t="shared" si="7"/>
        <v>4879142.6399999997</v>
      </c>
      <c r="P17" s="28">
        <f t="shared" si="8"/>
        <v>406590</v>
      </c>
      <c r="Q17" s="28">
        <f>TRUNC(P17*요율기준!$B$12,-1)</f>
        <v>40650</v>
      </c>
      <c r="R17" s="28">
        <f t="shared" si="9"/>
        <v>447240</v>
      </c>
    </row>
    <row r="18" spans="1:18" x14ac:dyDescent="0.4">
      <c r="A18" s="30">
        <f>급여대장!A18</f>
        <v>46054</v>
      </c>
      <c r="B18" s="17">
        <v>2</v>
      </c>
      <c r="C18" s="25" t="str">
        <f>급여대장!D18</f>
        <v>나래솔</v>
      </c>
      <c r="D18" s="31">
        <f>직원정보!I6</f>
        <v>1</v>
      </c>
      <c r="E18" s="29">
        <f>급여대장!V18</f>
        <v>5600000</v>
      </c>
      <c r="F18" s="26">
        <f t="shared" si="0"/>
        <v>67200000</v>
      </c>
      <c r="G18" s="26">
        <f t="shared" si="1"/>
        <v>13110000</v>
      </c>
      <c r="H18" s="26">
        <f t="shared" si="2"/>
        <v>54090000</v>
      </c>
      <c r="I18" s="26">
        <f>D18*요율기준!$B$13</f>
        <v>1500000</v>
      </c>
      <c r="J18" s="29">
        <f>'4대보험'!F18*12</f>
        <v>3024000</v>
      </c>
      <c r="K18" s="26">
        <f t="shared" si="3"/>
        <v>5788000</v>
      </c>
      <c r="L18" s="26">
        <f t="shared" si="4"/>
        <v>43778000</v>
      </c>
      <c r="M18" s="26">
        <f t="shared" si="5"/>
        <v>5306700</v>
      </c>
      <c r="N18" s="26">
        <f t="shared" si="6"/>
        <v>660000</v>
      </c>
      <c r="O18" s="26">
        <f t="shared" si="7"/>
        <v>4646700</v>
      </c>
      <c r="P18" s="28">
        <f t="shared" si="8"/>
        <v>387220</v>
      </c>
      <c r="Q18" s="28">
        <f>TRUNC(P18*요율기준!$B$12,-1)</f>
        <v>38720</v>
      </c>
      <c r="R18" s="28">
        <f t="shared" si="9"/>
        <v>425940</v>
      </c>
    </row>
    <row r="19" spans="1:18" x14ac:dyDescent="0.4">
      <c r="A19" s="30">
        <f>급여대장!A19</f>
        <v>46082</v>
      </c>
      <c r="B19" s="17">
        <v>2</v>
      </c>
      <c r="C19" s="25" t="str">
        <f>급여대장!D19</f>
        <v>나래솔</v>
      </c>
      <c r="D19" s="31">
        <f>직원정보!I6</f>
        <v>1</v>
      </c>
      <c r="E19" s="29">
        <f>급여대장!V19</f>
        <v>5749280</v>
      </c>
      <c r="F19" s="26">
        <f t="shared" si="0"/>
        <v>68991360</v>
      </c>
      <c r="G19" s="26">
        <f t="shared" si="1"/>
        <v>13199568</v>
      </c>
      <c r="H19" s="26">
        <f t="shared" si="2"/>
        <v>55791792</v>
      </c>
      <c r="I19" s="26">
        <f>D19*요율기준!$B$13</f>
        <v>1500000</v>
      </c>
      <c r="J19" s="29">
        <f>'4대보험'!F19*12</f>
        <v>3104520</v>
      </c>
      <c r="K19" s="26">
        <f t="shared" si="3"/>
        <v>5859654.4000000004</v>
      </c>
      <c r="L19" s="26">
        <f t="shared" si="4"/>
        <v>45327617.600000001</v>
      </c>
      <c r="M19" s="26">
        <f t="shared" si="5"/>
        <v>5539142.6399999997</v>
      </c>
      <c r="N19" s="26">
        <f t="shared" si="6"/>
        <v>660000</v>
      </c>
      <c r="O19" s="26">
        <f t="shared" si="7"/>
        <v>4879142.6399999997</v>
      </c>
      <c r="P19" s="28">
        <f t="shared" si="8"/>
        <v>406590</v>
      </c>
      <c r="Q19" s="28">
        <f>TRUNC(P19*요율기준!$B$12,-1)</f>
        <v>40650</v>
      </c>
      <c r="R19" s="28">
        <f t="shared" si="9"/>
        <v>447240</v>
      </c>
    </row>
    <row r="20" spans="1:18" x14ac:dyDescent="0.4">
      <c r="A20" s="30">
        <f>급여대장!A20</f>
        <v>46113</v>
      </c>
      <c r="B20" s="17">
        <v>2</v>
      </c>
      <c r="C20" s="25" t="str">
        <f>급여대장!D20</f>
        <v>나래솔</v>
      </c>
      <c r="D20" s="31">
        <f>직원정보!I6</f>
        <v>1</v>
      </c>
      <c r="E20" s="29">
        <f>급여대장!V20</f>
        <v>5600000</v>
      </c>
      <c r="F20" s="26">
        <f t="shared" si="0"/>
        <v>67200000</v>
      </c>
      <c r="G20" s="26">
        <f t="shared" si="1"/>
        <v>13110000</v>
      </c>
      <c r="H20" s="26">
        <f t="shared" si="2"/>
        <v>54090000</v>
      </c>
      <c r="I20" s="26">
        <f>D20*요율기준!$B$13</f>
        <v>1500000</v>
      </c>
      <c r="J20" s="29">
        <f>'4대보험'!F20*12</f>
        <v>3024000</v>
      </c>
      <c r="K20" s="26">
        <f t="shared" si="3"/>
        <v>5788000</v>
      </c>
      <c r="L20" s="26">
        <f t="shared" si="4"/>
        <v>43778000</v>
      </c>
      <c r="M20" s="26">
        <f t="shared" si="5"/>
        <v>5306700</v>
      </c>
      <c r="N20" s="26">
        <f t="shared" si="6"/>
        <v>660000</v>
      </c>
      <c r="O20" s="26">
        <f t="shared" si="7"/>
        <v>4646700</v>
      </c>
      <c r="P20" s="28">
        <f t="shared" si="8"/>
        <v>387220</v>
      </c>
      <c r="Q20" s="28">
        <f>TRUNC(P20*요율기준!$B$12,-1)</f>
        <v>38720</v>
      </c>
      <c r="R20" s="28">
        <f t="shared" si="9"/>
        <v>425940</v>
      </c>
    </row>
    <row r="21" spans="1:18" x14ac:dyDescent="0.4">
      <c r="A21" s="30">
        <f>급여대장!A21</f>
        <v>46143</v>
      </c>
      <c r="B21" s="17">
        <v>2</v>
      </c>
      <c r="C21" s="25" t="str">
        <f>급여대장!D21</f>
        <v>나래솔</v>
      </c>
      <c r="D21" s="31">
        <f>직원정보!I6</f>
        <v>1</v>
      </c>
      <c r="E21" s="29">
        <f>급여대장!V21</f>
        <v>5749280</v>
      </c>
      <c r="F21" s="26">
        <f t="shared" si="0"/>
        <v>68991360</v>
      </c>
      <c r="G21" s="26">
        <f t="shared" si="1"/>
        <v>13199568</v>
      </c>
      <c r="H21" s="26">
        <f t="shared" si="2"/>
        <v>55791792</v>
      </c>
      <c r="I21" s="26">
        <f>D21*요율기준!$B$13</f>
        <v>1500000</v>
      </c>
      <c r="J21" s="29">
        <f>'4대보험'!F21*12</f>
        <v>3104520</v>
      </c>
      <c r="K21" s="26">
        <f t="shared" si="3"/>
        <v>5859654.4000000004</v>
      </c>
      <c r="L21" s="26">
        <f t="shared" si="4"/>
        <v>45327617.600000001</v>
      </c>
      <c r="M21" s="26">
        <f t="shared" si="5"/>
        <v>5539142.6399999997</v>
      </c>
      <c r="N21" s="26">
        <f t="shared" si="6"/>
        <v>660000</v>
      </c>
      <c r="O21" s="26">
        <f t="shared" si="7"/>
        <v>4879142.6399999997</v>
      </c>
      <c r="P21" s="28">
        <f t="shared" si="8"/>
        <v>406590</v>
      </c>
      <c r="Q21" s="28">
        <f>TRUNC(P21*요율기준!$B$12,-1)</f>
        <v>40650</v>
      </c>
      <c r="R21" s="28">
        <f t="shared" si="9"/>
        <v>447240</v>
      </c>
    </row>
    <row r="22" spans="1:18" x14ac:dyDescent="0.4">
      <c r="A22" s="30">
        <f>급여대장!A22</f>
        <v>46174</v>
      </c>
      <c r="B22" s="17">
        <v>2</v>
      </c>
      <c r="C22" s="25" t="str">
        <f>급여대장!D22</f>
        <v>나래솔</v>
      </c>
      <c r="D22" s="31">
        <f>직원정보!I6</f>
        <v>1</v>
      </c>
      <c r="E22" s="29">
        <f>급여대장!V22</f>
        <v>5600000</v>
      </c>
      <c r="F22" s="26">
        <f t="shared" si="0"/>
        <v>67200000</v>
      </c>
      <c r="G22" s="26">
        <f t="shared" si="1"/>
        <v>13110000</v>
      </c>
      <c r="H22" s="26">
        <f t="shared" si="2"/>
        <v>54090000</v>
      </c>
      <c r="I22" s="26">
        <f>D22*요율기준!$B$13</f>
        <v>1500000</v>
      </c>
      <c r="J22" s="29">
        <f>'4대보험'!F22*12</f>
        <v>3024000</v>
      </c>
      <c r="K22" s="26">
        <f t="shared" si="3"/>
        <v>5788000</v>
      </c>
      <c r="L22" s="26">
        <f t="shared" si="4"/>
        <v>43778000</v>
      </c>
      <c r="M22" s="26">
        <f t="shared" si="5"/>
        <v>5306700</v>
      </c>
      <c r="N22" s="26">
        <f t="shared" si="6"/>
        <v>660000</v>
      </c>
      <c r="O22" s="26">
        <f t="shared" si="7"/>
        <v>4646700</v>
      </c>
      <c r="P22" s="28">
        <f t="shared" si="8"/>
        <v>387220</v>
      </c>
      <c r="Q22" s="28">
        <f>TRUNC(P22*요율기준!$B$12,-1)</f>
        <v>38720</v>
      </c>
      <c r="R22" s="28">
        <f t="shared" si="9"/>
        <v>425940</v>
      </c>
    </row>
    <row r="23" spans="1:18" x14ac:dyDescent="0.4">
      <c r="A23" s="30">
        <f>급여대장!A23</f>
        <v>46204</v>
      </c>
      <c r="B23" s="17">
        <v>2</v>
      </c>
      <c r="C23" s="25" t="str">
        <f>급여대장!D23</f>
        <v>나래솔</v>
      </c>
      <c r="D23" s="31">
        <f>직원정보!I6</f>
        <v>1</v>
      </c>
      <c r="E23" s="29">
        <f>급여대장!V23</f>
        <v>5749280</v>
      </c>
      <c r="F23" s="26">
        <f t="shared" si="0"/>
        <v>68991360</v>
      </c>
      <c r="G23" s="26">
        <f t="shared" si="1"/>
        <v>13199568</v>
      </c>
      <c r="H23" s="26">
        <f t="shared" si="2"/>
        <v>55791792</v>
      </c>
      <c r="I23" s="26">
        <f>D23*요율기준!$B$13</f>
        <v>1500000</v>
      </c>
      <c r="J23" s="29">
        <f>'4대보험'!F23*12</f>
        <v>3104520</v>
      </c>
      <c r="K23" s="26">
        <f t="shared" si="3"/>
        <v>5859654.4000000004</v>
      </c>
      <c r="L23" s="26">
        <f t="shared" si="4"/>
        <v>45327617.600000001</v>
      </c>
      <c r="M23" s="26">
        <f t="shared" si="5"/>
        <v>5539142.6399999997</v>
      </c>
      <c r="N23" s="26">
        <f t="shared" si="6"/>
        <v>660000</v>
      </c>
      <c r="O23" s="26">
        <f t="shared" si="7"/>
        <v>4879142.6399999997</v>
      </c>
      <c r="P23" s="28">
        <f t="shared" si="8"/>
        <v>406590</v>
      </c>
      <c r="Q23" s="28">
        <f>TRUNC(P23*요율기준!$B$12,-1)</f>
        <v>40650</v>
      </c>
      <c r="R23" s="28">
        <f t="shared" si="9"/>
        <v>447240</v>
      </c>
    </row>
    <row r="24" spans="1:18" x14ac:dyDescent="0.4">
      <c r="A24" s="30">
        <f>급여대장!A24</f>
        <v>46235</v>
      </c>
      <c r="B24" s="17">
        <v>2</v>
      </c>
      <c r="C24" s="25" t="str">
        <f>급여대장!D24</f>
        <v>나래솔</v>
      </c>
      <c r="D24" s="31">
        <f>직원정보!I6</f>
        <v>1</v>
      </c>
      <c r="E24" s="29">
        <f>급여대장!V24</f>
        <v>5600000</v>
      </c>
      <c r="F24" s="26">
        <f t="shared" si="0"/>
        <v>67200000</v>
      </c>
      <c r="G24" s="26">
        <f t="shared" si="1"/>
        <v>13110000</v>
      </c>
      <c r="H24" s="26">
        <f t="shared" si="2"/>
        <v>54090000</v>
      </c>
      <c r="I24" s="26">
        <f>D24*요율기준!$B$13</f>
        <v>1500000</v>
      </c>
      <c r="J24" s="29">
        <f>'4대보험'!F24*12</f>
        <v>3024000</v>
      </c>
      <c r="K24" s="26">
        <f t="shared" si="3"/>
        <v>5788000</v>
      </c>
      <c r="L24" s="26">
        <f t="shared" si="4"/>
        <v>43778000</v>
      </c>
      <c r="M24" s="26">
        <f t="shared" si="5"/>
        <v>5306700</v>
      </c>
      <c r="N24" s="26">
        <f t="shared" si="6"/>
        <v>660000</v>
      </c>
      <c r="O24" s="26">
        <f t="shared" si="7"/>
        <v>4646700</v>
      </c>
      <c r="P24" s="28">
        <f t="shared" si="8"/>
        <v>387220</v>
      </c>
      <c r="Q24" s="28">
        <f>TRUNC(P24*요율기준!$B$12,-1)</f>
        <v>38720</v>
      </c>
      <c r="R24" s="28">
        <f t="shared" si="9"/>
        <v>425940</v>
      </c>
    </row>
    <row r="25" spans="1:18" x14ac:dyDescent="0.4">
      <c r="A25" s="30">
        <f>급여대장!A25</f>
        <v>46266</v>
      </c>
      <c r="B25" s="17">
        <v>2</v>
      </c>
      <c r="C25" s="25" t="str">
        <f>급여대장!D25</f>
        <v>나래솔</v>
      </c>
      <c r="D25" s="31">
        <f>직원정보!I6</f>
        <v>1</v>
      </c>
      <c r="E25" s="29">
        <f>급여대장!V25</f>
        <v>5749280</v>
      </c>
      <c r="F25" s="26">
        <f t="shared" si="0"/>
        <v>68991360</v>
      </c>
      <c r="G25" s="26">
        <f t="shared" si="1"/>
        <v>13199568</v>
      </c>
      <c r="H25" s="26">
        <f t="shared" si="2"/>
        <v>55791792</v>
      </c>
      <c r="I25" s="26">
        <f>D25*요율기준!$B$13</f>
        <v>1500000</v>
      </c>
      <c r="J25" s="29">
        <f>'4대보험'!F25*12</f>
        <v>3104520</v>
      </c>
      <c r="K25" s="26">
        <f t="shared" si="3"/>
        <v>5859654.4000000004</v>
      </c>
      <c r="L25" s="26">
        <f t="shared" si="4"/>
        <v>45327617.600000001</v>
      </c>
      <c r="M25" s="26">
        <f t="shared" si="5"/>
        <v>5539142.6399999997</v>
      </c>
      <c r="N25" s="26">
        <f t="shared" si="6"/>
        <v>660000</v>
      </c>
      <c r="O25" s="26">
        <f t="shared" si="7"/>
        <v>4879142.6399999997</v>
      </c>
      <c r="P25" s="28">
        <f t="shared" si="8"/>
        <v>406590</v>
      </c>
      <c r="Q25" s="28">
        <f>TRUNC(P25*요율기준!$B$12,-1)</f>
        <v>40650</v>
      </c>
      <c r="R25" s="28">
        <f t="shared" si="9"/>
        <v>447240</v>
      </c>
    </row>
    <row r="26" spans="1:18" x14ac:dyDescent="0.4">
      <c r="A26" s="30">
        <f>급여대장!A26</f>
        <v>46296</v>
      </c>
      <c r="B26" s="17">
        <v>2</v>
      </c>
      <c r="C26" s="25" t="str">
        <f>급여대장!D26</f>
        <v>나래솔</v>
      </c>
      <c r="D26" s="31">
        <f>직원정보!I6</f>
        <v>1</v>
      </c>
      <c r="E26" s="29">
        <f>급여대장!V26</f>
        <v>5600000</v>
      </c>
      <c r="F26" s="26">
        <f t="shared" si="0"/>
        <v>67200000</v>
      </c>
      <c r="G26" s="26">
        <f t="shared" si="1"/>
        <v>13110000</v>
      </c>
      <c r="H26" s="26">
        <f t="shared" si="2"/>
        <v>54090000</v>
      </c>
      <c r="I26" s="26">
        <f>D26*요율기준!$B$13</f>
        <v>1500000</v>
      </c>
      <c r="J26" s="29">
        <f>'4대보험'!F26*12</f>
        <v>3024000</v>
      </c>
      <c r="K26" s="26">
        <f t="shared" si="3"/>
        <v>5788000</v>
      </c>
      <c r="L26" s="26">
        <f t="shared" si="4"/>
        <v>43778000</v>
      </c>
      <c r="M26" s="26">
        <f t="shared" si="5"/>
        <v>5306700</v>
      </c>
      <c r="N26" s="26">
        <f t="shared" si="6"/>
        <v>660000</v>
      </c>
      <c r="O26" s="26">
        <f t="shared" si="7"/>
        <v>4646700</v>
      </c>
      <c r="P26" s="28">
        <f t="shared" si="8"/>
        <v>387220</v>
      </c>
      <c r="Q26" s="28">
        <f>TRUNC(P26*요율기준!$B$12,-1)</f>
        <v>38720</v>
      </c>
      <c r="R26" s="28">
        <f t="shared" si="9"/>
        <v>425940</v>
      </c>
    </row>
    <row r="27" spans="1:18" x14ac:dyDescent="0.4">
      <c r="A27" s="30">
        <f>급여대장!A27</f>
        <v>46327</v>
      </c>
      <c r="B27" s="17">
        <v>2</v>
      </c>
      <c r="C27" s="25" t="str">
        <f>급여대장!D27</f>
        <v>나래솔</v>
      </c>
      <c r="D27" s="31">
        <f>직원정보!I6</f>
        <v>1</v>
      </c>
      <c r="E27" s="29">
        <f>급여대장!V27</f>
        <v>5749280</v>
      </c>
      <c r="F27" s="26">
        <f t="shared" si="0"/>
        <v>68991360</v>
      </c>
      <c r="G27" s="26">
        <f t="shared" si="1"/>
        <v>13199568</v>
      </c>
      <c r="H27" s="26">
        <f t="shared" si="2"/>
        <v>55791792</v>
      </c>
      <c r="I27" s="26">
        <f>D27*요율기준!$B$13</f>
        <v>1500000</v>
      </c>
      <c r="J27" s="29">
        <f>'4대보험'!F27*12</f>
        <v>3104520</v>
      </c>
      <c r="K27" s="26">
        <f t="shared" si="3"/>
        <v>5859654.4000000004</v>
      </c>
      <c r="L27" s="26">
        <f t="shared" si="4"/>
        <v>45327617.600000001</v>
      </c>
      <c r="M27" s="26">
        <f t="shared" si="5"/>
        <v>5539142.6399999997</v>
      </c>
      <c r="N27" s="26">
        <f t="shared" si="6"/>
        <v>660000</v>
      </c>
      <c r="O27" s="26">
        <f t="shared" si="7"/>
        <v>4879142.6399999997</v>
      </c>
      <c r="P27" s="28">
        <f t="shared" si="8"/>
        <v>406590</v>
      </c>
      <c r="Q27" s="28">
        <f>TRUNC(P27*요율기준!$B$12,-1)</f>
        <v>40650</v>
      </c>
      <c r="R27" s="28">
        <f t="shared" si="9"/>
        <v>447240</v>
      </c>
    </row>
    <row r="28" spans="1:18" x14ac:dyDescent="0.4">
      <c r="A28" s="30">
        <f>급여대장!A28</f>
        <v>46357</v>
      </c>
      <c r="B28" s="17">
        <v>2</v>
      </c>
      <c r="C28" s="25" t="str">
        <f>급여대장!D28</f>
        <v>나래솔</v>
      </c>
      <c r="D28" s="31">
        <f>직원정보!I6</f>
        <v>1</v>
      </c>
      <c r="E28" s="29">
        <f>급여대장!V28</f>
        <v>5600000</v>
      </c>
      <c r="F28" s="26">
        <f t="shared" si="0"/>
        <v>67200000</v>
      </c>
      <c r="G28" s="26">
        <f t="shared" si="1"/>
        <v>13110000</v>
      </c>
      <c r="H28" s="26">
        <f t="shared" si="2"/>
        <v>54090000</v>
      </c>
      <c r="I28" s="26">
        <f>D28*요율기준!$B$13</f>
        <v>1500000</v>
      </c>
      <c r="J28" s="29">
        <f>'4대보험'!F28*12</f>
        <v>3024000</v>
      </c>
      <c r="K28" s="26">
        <f t="shared" si="3"/>
        <v>5788000</v>
      </c>
      <c r="L28" s="26">
        <f t="shared" si="4"/>
        <v>43778000</v>
      </c>
      <c r="M28" s="26">
        <f t="shared" si="5"/>
        <v>5306700</v>
      </c>
      <c r="N28" s="26">
        <f t="shared" si="6"/>
        <v>660000</v>
      </c>
      <c r="O28" s="26">
        <f t="shared" si="7"/>
        <v>4646700</v>
      </c>
      <c r="P28" s="28">
        <f t="shared" si="8"/>
        <v>387220</v>
      </c>
      <c r="Q28" s="28">
        <f>TRUNC(P28*요율기준!$B$12,-1)</f>
        <v>38720</v>
      </c>
      <c r="R28" s="28">
        <f t="shared" si="9"/>
        <v>425940</v>
      </c>
    </row>
    <row r="29" spans="1:18" x14ac:dyDescent="0.4">
      <c r="A29" s="30">
        <f>급여대장!A29</f>
        <v>46023</v>
      </c>
      <c r="B29" s="17">
        <v>3</v>
      </c>
      <c r="C29" s="25" t="str">
        <f>급여대장!D29</f>
        <v>다올찬</v>
      </c>
      <c r="D29" s="31">
        <f>직원정보!I7</f>
        <v>1</v>
      </c>
      <c r="E29" s="29">
        <f>급여대장!V29</f>
        <v>5700000</v>
      </c>
      <c r="F29" s="26">
        <f t="shared" si="0"/>
        <v>68400000</v>
      </c>
      <c r="G29" s="26">
        <f t="shared" si="1"/>
        <v>13170000</v>
      </c>
      <c r="H29" s="26">
        <f t="shared" si="2"/>
        <v>55230000</v>
      </c>
      <c r="I29" s="26">
        <f>D29*요율기준!$B$13</f>
        <v>1500000</v>
      </c>
      <c r="J29" s="29">
        <f>'4대보험'!F29*12</f>
        <v>3078000</v>
      </c>
      <c r="K29" s="26">
        <f t="shared" si="3"/>
        <v>5836000</v>
      </c>
      <c r="L29" s="26">
        <f t="shared" si="4"/>
        <v>44816000</v>
      </c>
      <c r="M29" s="26">
        <f t="shared" si="5"/>
        <v>5462400</v>
      </c>
      <c r="N29" s="26">
        <f t="shared" si="6"/>
        <v>660000</v>
      </c>
      <c r="O29" s="26">
        <f t="shared" si="7"/>
        <v>4802400</v>
      </c>
      <c r="P29" s="28">
        <f t="shared" si="8"/>
        <v>400200</v>
      </c>
      <c r="Q29" s="28">
        <f>TRUNC(P29*요율기준!$B$12,-1)</f>
        <v>40020</v>
      </c>
      <c r="R29" s="28">
        <f t="shared" si="9"/>
        <v>440220</v>
      </c>
    </row>
    <row r="30" spans="1:18" x14ac:dyDescent="0.4">
      <c r="A30" s="30">
        <f>급여대장!A30</f>
        <v>46054</v>
      </c>
      <c r="B30" s="17">
        <v>3</v>
      </c>
      <c r="C30" s="25" t="str">
        <f>급여대장!D30</f>
        <v>다올찬</v>
      </c>
      <c r="D30" s="31">
        <f>직원정보!I7</f>
        <v>1</v>
      </c>
      <c r="E30" s="29">
        <f>급여대장!V30</f>
        <v>5849280</v>
      </c>
      <c r="F30" s="26">
        <f t="shared" si="0"/>
        <v>70191360</v>
      </c>
      <c r="G30" s="26">
        <f t="shared" si="1"/>
        <v>13259568</v>
      </c>
      <c r="H30" s="26">
        <f t="shared" si="2"/>
        <v>56931792</v>
      </c>
      <c r="I30" s="26">
        <f>D30*요율기준!$B$13</f>
        <v>1500000</v>
      </c>
      <c r="J30" s="29">
        <f>'4대보험'!F30*12</f>
        <v>3158520</v>
      </c>
      <c r="K30" s="26">
        <f t="shared" si="3"/>
        <v>5907654.4000000004</v>
      </c>
      <c r="L30" s="26">
        <f t="shared" si="4"/>
        <v>46365617.600000001</v>
      </c>
      <c r="M30" s="26">
        <f t="shared" si="5"/>
        <v>5694842.6399999997</v>
      </c>
      <c r="N30" s="26">
        <f t="shared" si="6"/>
        <v>564320</v>
      </c>
      <c r="O30" s="26">
        <f t="shared" si="7"/>
        <v>5130522.6399999997</v>
      </c>
      <c r="P30" s="28">
        <f t="shared" si="8"/>
        <v>427540</v>
      </c>
      <c r="Q30" s="28">
        <f>TRUNC(P30*요율기준!$B$12,-1)</f>
        <v>42750</v>
      </c>
      <c r="R30" s="28">
        <f t="shared" si="9"/>
        <v>470290</v>
      </c>
    </row>
    <row r="31" spans="1:18" x14ac:dyDescent="0.4">
      <c r="A31" s="30">
        <f>급여대장!A31</f>
        <v>46082</v>
      </c>
      <c r="B31" s="17">
        <v>3</v>
      </c>
      <c r="C31" s="25" t="str">
        <f>급여대장!D31</f>
        <v>다올찬</v>
      </c>
      <c r="D31" s="31">
        <f>직원정보!I7</f>
        <v>1</v>
      </c>
      <c r="E31" s="29">
        <f>급여대장!V31</f>
        <v>5700000</v>
      </c>
      <c r="F31" s="26">
        <f t="shared" si="0"/>
        <v>68400000</v>
      </c>
      <c r="G31" s="26">
        <f t="shared" si="1"/>
        <v>13170000</v>
      </c>
      <c r="H31" s="26">
        <f t="shared" si="2"/>
        <v>55230000</v>
      </c>
      <c r="I31" s="26">
        <f>D31*요율기준!$B$13</f>
        <v>1500000</v>
      </c>
      <c r="J31" s="29">
        <f>'4대보험'!F31*12</f>
        <v>3078000</v>
      </c>
      <c r="K31" s="26">
        <f t="shared" si="3"/>
        <v>5836000</v>
      </c>
      <c r="L31" s="26">
        <f t="shared" si="4"/>
        <v>44816000</v>
      </c>
      <c r="M31" s="26">
        <f t="shared" si="5"/>
        <v>5462400</v>
      </c>
      <c r="N31" s="26">
        <f t="shared" si="6"/>
        <v>660000</v>
      </c>
      <c r="O31" s="26">
        <f t="shared" si="7"/>
        <v>4802400</v>
      </c>
      <c r="P31" s="28">
        <f t="shared" si="8"/>
        <v>400200</v>
      </c>
      <c r="Q31" s="28">
        <f>TRUNC(P31*요율기준!$B$12,-1)</f>
        <v>40020</v>
      </c>
      <c r="R31" s="28">
        <f t="shared" si="9"/>
        <v>440220</v>
      </c>
    </row>
    <row r="32" spans="1:18" x14ac:dyDescent="0.4">
      <c r="A32" s="30">
        <f>급여대장!A32</f>
        <v>46113</v>
      </c>
      <c r="B32" s="17">
        <v>3</v>
      </c>
      <c r="C32" s="25" t="str">
        <f>급여대장!D32</f>
        <v>다올찬</v>
      </c>
      <c r="D32" s="31">
        <f>직원정보!I7</f>
        <v>1</v>
      </c>
      <c r="E32" s="29">
        <f>급여대장!V32</f>
        <v>5849280</v>
      </c>
      <c r="F32" s="26">
        <f t="shared" si="0"/>
        <v>70191360</v>
      </c>
      <c r="G32" s="26">
        <f t="shared" si="1"/>
        <v>13259568</v>
      </c>
      <c r="H32" s="26">
        <f t="shared" si="2"/>
        <v>56931792</v>
      </c>
      <c r="I32" s="26">
        <f>D32*요율기준!$B$13</f>
        <v>1500000</v>
      </c>
      <c r="J32" s="29">
        <f>'4대보험'!F32*12</f>
        <v>3158520</v>
      </c>
      <c r="K32" s="26">
        <f t="shared" si="3"/>
        <v>5907654.4000000004</v>
      </c>
      <c r="L32" s="26">
        <f t="shared" si="4"/>
        <v>46365617.600000001</v>
      </c>
      <c r="M32" s="26">
        <f t="shared" si="5"/>
        <v>5694842.6399999997</v>
      </c>
      <c r="N32" s="26">
        <f t="shared" si="6"/>
        <v>564320</v>
      </c>
      <c r="O32" s="26">
        <f t="shared" si="7"/>
        <v>5130522.6399999997</v>
      </c>
      <c r="P32" s="28">
        <f t="shared" si="8"/>
        <v>427540</v>
      </c>
      <c r="Q32" s="28">
        <f>TRUNC(P32*요율기준!$B$12,-1)</f>
        <v>42750</v>
      </c>
      <c r="R32" s="28">
        <f t="shared" si="9"/>
        <v>470290</v>
      </c>
    </row>
    <row r="33" spans="1:18" x14ac:dyDescent="0.4">
      <c r="A33" s="30">
        <f>급여대장!A33</f>
        <v>46143</v>
      </c>
      <c r="B33" s="17">
        <v>3</v>
      </c>
      <c r="C33" s="25" t="str">
        <f>급여대장!D33</f>
        <v>다올찬</v>
      </c>
      <c r="D33" s="31">
        <f>직원정보!I7</f>
        <v>1</v>
      </c>
      <c r="E33" s="29">
        <f>급여대장!V33</f>
        <v>5700000</v>
      </c>
      <c r="F33" s="26">
        <f t="shared" si="0"/>
        <v>68400000</v>
      </c>
      <c r="G33" s="26">
        <f t="shared" si="1"/>
        <v>13170000</v>
      </c>
      <c r="H33" s="26">
        <f t="shared" si="2"/>
        <v>55230000</v>
      </c>
      <c r="I33" s="26">
        <f>D33*요율기준!$B$13</f>
        <v>1500000</v>
      </c>
      <c r="J33" s="29">
        <f>'4대보험'!F33*12</f>
        <v>3078000</v>
      </c>
      <c r="K33" s="26">
        <f t="shared" si="3"/>
        <v>5836000</v>
      </c>
      <c r="L33" s="26">
        <f t="shared" si="4"/>
        <v>44816000</v>
      </c>
      <c r="M33" s="26">
        <f t="shared" si="5"/>
        <v>5462400</v>
      </c>
      <c r="N33" s="26">
        <f t="shared" si="6"/>
        <v>660000</v>
      </c>
      <c r="O33" s="26">
        <f t="shared" si="7"/>
        <v>4802400</v>
      </c>
      <c r="P33" s="28">
        <f t="shared" si="8"/>
        <v>400200</v>
      </c>
      <c r="Q33" s="28">
        <f>TRUNC(P33*요율기준!$B$12,-1)</f>
        <v>40020</v>
      </c>
      <c r="R33" s="28">
        <f t="shared" si="9"/>
        <v>440220</v>
      </c>
    </row>
    <row r="34" spans="1:18" x14ac:dyDescent="0.4">
      <c r="A34" s="30">
        <f>급여대장!A34</f>
        <v>46174</v>
      </c>
      <c r="B34" s="17">
        <v>3</v>
      </c>
      <c r="C34" s="25" t="str">
        <f>급여대장!D34</f>
        <v>다올찬</v>
      </c>
      <c r="D34" s="31">
        <f>직원정보!I7</f>
        <v>1</v>
      </c>
      <c r="E34" s="29">
        <f>급여대장!V34</f>
        <v>5849280</v>
      </c>
      <c r="F34" s="26">
        <f t="shared" si="0"/>
        <v>70191360</v>
      </c>
      <c r="G34" s="26">
        <f t="shared" si="1"/>
        <v>13259568</v>
      </c>
      <c r="H34" s="26">
        <f t="shared" si="2"/>
        <v>56931792</v>
      </c>
      <c r="I34" s="26">
        <f>D34*요율기준!$B$13</f>
        <v>1500000</v>
      </c>
      <c r="J34" s="29">
        <f>'4대보험'!F34*12</f>
        <v>3158520</v>
      </c>
      <c r="K34" s="26">
        <f t="shared" si="3"/>
        <v>5907654.4000000004</v>
      </c>
      <c r="L34" s="26">
        <f t="shared" si="4"/>
        <v>46365617.600000001</v>
      </c>
      <c r="M34" s="26">
        <f t="shared" si="5"/>
        <v>5694842.6399999997</v>
      </c>
      <c r="N34" s="26">
        <f t="shared" si="6"/>
        <v>564320</v>
      </c>
      <c r="O34" s="26">
        <f t="shared" si="7"/>
        <v>5130522.6399999997</v>
      </c>
      <c r="P34" s="28">
        <f t="shared" si="8"/>
        <v>427540</v>
      </c>
      <c r="Q34" s="28">
        <f>TRUNC(P34*요율기준!$B$12,-1)</f>
        <v>42750</v>
      </c>
      <c r="R34" s="28">
        <f t="shared" si="9"/>
        <v>470290</v>
      </c>
    </row>
    <row r="35" spans="1:18" x14ac:dyDescent="0.4">
      <c r="A35" s="30">
        <f>급여대장!A35</f>
        <v>46204</v>
      </c>
      <c r="B35" s="17">
        <v>3</v>
      </c>
      <c r="C35" s="25" t="str">
        <f>급여대장!D35</f>
        <v>다올찬</v>
      </c>
      <c r="D35" s="31">
        <f>직원정보!I7</f>
        <v>1</v>
      </c>
      <c r="E35" s="29">
        <f>급여대장!V35</f>
        <v>5700000</v>
      </c>
      <c r="F35" s="26">
        <f t="shared" si="0"/>
        <v>68400000</v>
      </c>
      <c r="G35" s="26">
        <f t="shared" si="1"/>
        <v>13170000</v>
      </c>
      <c r="H35" s="26">
        <f t="shared" si="2"/>
        <v>55230000</v>
      </c>
      <c r="I35" s="26">
        <f>D35*요율기준!$B$13</f>
        <v>1500000</v>
      </c>
      <c r="J35" s="29">
        <f>'4대보험'!F35*12</f>
        <v>3078000</v>
      </c>
      <c r="K35" s="26">
        <f t="shared" si="3"/>
        <v>5836000</v>
      </c>
      <c r="L35" s="26">
        <f t="shared" si="4"/>
        <v>44816000</v>
      </c>
      <c r="M35" s="26">
        <f t="shared" si="5"/>
        <v>5462400</v>
      </c>
      <c r="N35" s="26">
        <f t="shared" si="6"/>
        <v>660000</v>
      </c>
      <c r="O35" s="26">
        <f t="shared" si="7"/>
        <v>4802400</v>
      </c>
      <c r="P35" s="28">
        <f t="shared" si="8"/>
        <v>400200</v>
      </c>
      <c r="Q35" s="28">
        <f>TRUNC(P35*요율기준!$B$12,-1)</f>
        <v>40020</v>
      </c>
      <c r="R35" s="28">
        <f t="shared" si="9"/>
        <v>440220</v>
      </c>
    </row>
    <row r="36" spans="1:18" x14ac:dyDescent="0.4">
      <c r="A36" s="30">
        <f>급여대장!A36</f>
        <v>46235</v>
      </c>
      <c r="B36" s="17">
        <v>3</v>
      </c>
      <c r="C36" s="25" t="str">
        <f>급여대장!D36</f>
        <v>다올찬</v>
      </c>
      <c r="D36" s="31">
        <f>직원정보!I7</f>
        <v>1</v>
      </c>
      <c r="E36" s="29">
        <f>급여대장!V36</f>
        <v>5849280</v>
      </c>
      <c r="F36" s="26">
        <f t="shared" si="0"/>
        <v>70191360</v>
      </c>
      <c r="G36" s="26">
        <f t="shared" si="1"/>
        <v>13259568</v>
      </c>
      <c r="H36" s="26">
        <f t="shared" si="2"/>
        <v>56931792</v>
      </c>
      <c r="I36" s="26">
        <f>D36*요율기준!$B$13</f>
        <v>1500000</v>
      </c>
      <c r="J36" s="29">
        <f>'4대보험'!F36*12</f>
        <v>3158520</v>
      </c>
      <c r="K36" s="26">
        <f t="shared" si="3"/>
        <v>5907654.4000000004</v>
      </c>
      <c r="L36" s="26">
        <f t="shared" si="4"/>
        <v>46365617.600000001</v>
      </c>
      <c r="M36" s="26">
        <f t="shared" si="5"/>
        <v>5694842.6399999997</v>
      </c>
      <c r="N36" s="26">
        <f t="shared" si="6"/>
        <v>564320</v>
      </c>
      <c r="O36" s="26">
        <f t="shared" si="7"/>
        <v>5130522.6399999997</v>
      </c>
      <c r="P36" s="28">
        <f t="shared" si="8"/>
        <v>427540</v>
      </c>
      <c r="Q36" s="28">
        <f>TRUNC(P36*요율기준!$B$12,-1)</f>
        <v>42750</v>
      </c>
      <c r="R36" s="28">
        <f t="shared" si="9"/>
        <v>470290</v>
      </c>
    </row>
    <row r="37" spans="1:18" x14ac:dyDescent="0.4">
      <c r="A37" s="30">
        <f>급여대장!A37</f>
        <v>46266</v>
      </c>
      <c r="B37" s="17">
        <v>3</v>
      </c>
      <c r="C37" s="25" t="str">
        <f>급여대장!D37</f>
        <v>다올찬</v>
      </c>
      <c r="D37" s="31">
        <f>직원정보!I7</f>
        <v>1</v>
      </c>
      <c r="E37" s="29">
        <f>급여대장!V37</f>
        <v>5700000</v>
      </c>
      <c r="F37" s="26">
        <f t="shared" si="0"/>
        <v>68400000</v>
      </c>
      <c r="G37" s="26">
        <f t="shared" si="1"/>
        <v>13170000</v>
      </c>
      <c r="H37" s="26">
        <f t="shared" si="2"/>
        <v>55230000</v>
      </c>
      <c r="I37" s="26">
        <f>D37*요율기준!$B$13</f>
        <v>1500000</v>
      </c>
      <c r="J37" s="29">
        <f>'4대보험'!F37*12</f>
        <v>3078000</v>
      </c>
      <c r="K37" s="26">
        <f t="shared" si="3"/>
        <v>5836000</v>
      </c>
      <c r="L37" s="26">
        <f t="shared" si="4"/>
        <v>44816000</v>
      </c>
      <c r="M37" s="26">
        <f t="shared" si="5"/>
        <v>5462400</v>
      </c>
      <c r="N37" s="26">
        <f t="shared" si="6"/>
        <v>660000</v>
      </c>
      <c r="O37" s="26">
        <f t="shared" si="7"/>
        <v>4802400</v>
      </c>
      <c r="P37" s="28">
        <f t="shared" si="8"/>
        <v>400200</v>
      </c>
      <c r="Q37" s="28">
        <f>TRUNC(P37*요율기준!$B$12,-1)</f>
        <v>40020</v>
      </c>
      <c r="R37" s="28">
        <f t="shared" si="9"/>
        <v>440220</v>
      </c>
    </row>
    <row r="38" spans="1:18" x14ac:dyDescent="0.4">
      <c r="A38" s="30">
        <f>급여대장!A38</f>
        <v>46296</v>
      </c>
      <c r="B38" s="17">
        <v>3</v>
      </c>
      <c r="C38" s="25" t="str">
        <f>급여대장!D38</f>
        <v>다올찬</v>
      </c>
      <c r="D38" s="31">
        <f>직원정보!I7</f>
        <v>1</v>
      </c>
      <c r="E38" s="29">
        <f>급여대장!V38</f>
        <v>5849280</v>
      </c>
      <c r="F38" s="26">
        <f t="shared" si="0"/>
        <v>70191360</v>
      </c>
      <c r="G38" s="26">
        <f t="shared" si="1"/>
        <v>13259568</v>
      </c>
      <c r="H38" s="26">
        <f t="shared" si="2"/>
        <v>56931792</v>
      </c>
      <c r="I38" s="26">
        <f>D38*요율기준!$B$13</f>
        <v>1500000</v>
      </c>
      <c r="J38" s="29">
        <f>'4대보험'!F38*12</f>
        <v>3158520</v>
      </c>
      <c r="K38" s="26">
        <f t="shared" si="3"/>
        <v>5907654.4000000004</v>
      </c>
      <c r="L38" s="26">
        <f t="shared" si="4"/>
        <v>46365617.600000001</v>
      </c>
      <c r="M38" s="26">
        <f t="shared" si="5"/>
        <v>5694842.6399999997</v>
      </c>
      <c r="N38" s="26">
        <f t="shared" si="6"/>
        <v>564320</v>
      </c>
      <c r="O38" s="26">
        <f t="shared" si="7"/>
        <v>5130522.6399999997</v>
      </c>
      <c r="P38" s="28">
        <f t="shared" si="8"/>
        <v>427540</v>
      </c>
      <c r="Q38" s="28">
        <f>TRUNC(P38*요율기준!$B$12,-1)</f>
        <v>42750</v>
      </c>
      <c r="R38" s="28">
        <f t="shared" si="9"/>
        <v>470290</v>
      </c>
    </row>
    <row r="39" spans="1:18" x14ac:dyDescent="0.4">
      <c r="A39" s="30">
        <f>급여대장!A39</f>
        <v>46327</v>
      </c>
      <c r="B39" s="17">
        <v>3</v>
      </c>
      <c r="C39" s="25" t="str">
        <f>급여대장!D39</f>
        <v>다올찬</v>
      </c>
      <c r="D39" s="31">
        <f>직원정보!I7</f>
        <v>1</v>
      </c>
      <c r="E39" s="29">
        <f>급여대장!V39</f>
        <v>5700000</v>
      </c>
      <c r="F39" s="26">
        <f t="shared" si="0"/>
        <v>68400000</v>
      </c>
      <c r="G39" s="26">
        <f t="shared" si="1"/>
        <v>13170000</v>
      </c>
      <c r="H39" s="26">
        <f t="shared" si="2"/>
        <v>55230000</v>
      </c>
      <c r="I39" s="26">
        <f>D39*요율기준!$B$13</f>
        <v>1500000</v>
      </c>
      <c r="J39" s="29">
        <f>'4대보험'!F39*12</f>
        <v>3078000</v>
      </c>
      <c r="K39" s="26">
        <f t="shared" si="3"/>
        <v>5836000</v>
      </c>
      <c r="L39" s="26">
        <f t="shared" si="4"/>
        <v>44816000</v>
      </c>
      <c r="M39" s="26">
        <f t="shared" si="5"/>
        <v>5462400</v>
      </c>
      <c r="N39" s="26">
        <f t="shared" si="6"/>
        <v>660000</v>
      </c>
      <c r="O39" s="26">
        <f t="shared" si="7"/>
        <v>4802400</v>
      </c>
      <c r="P39" s="28">
        <f t="shared" si="8"/>
        <v>400200</v>
      </c>
      <c r="Q39" s="28">
        <f>TRUNC(P39*요율기준!$B$12,-1)</f>
        <v>40020</v>
      </c>
      <c r="R39" s="28">
        <f t="shared" si="9"/>
        <v>440220</v>
      </c>
    </row>
    <row r="40" spans="1:18" x14ac:dyDescent="0.4">
      <c r="A40" s="30">
        <f>급여대장!A40</f>
        <v>46357</v>
      </c>
      <c r="B40" s="17">
        <v>3</v>
      </c>
      <c r="C40" s="25" t="str">
        <f>급여대장!D40</f>
        <v>다올찬</v>
      </c>
      <c r="D40" s="31">
        <f>직원정보!I7</f>
        <v>1</v>
      </c>
      <c r="E40" s="29">
        <f>급여대장!V40</f>
        <v>5849280</v>
      </c>
      <c r="F40" s="26">
        <f t="shared" si="0"/>
        <v>70191360</v>
      </c>
      <c r="G40" s="26">
        <f t="shared" si="1"/>
        <v>13259568</v>
      </c>
      <c r="H40" s="26">
        <f t="shared" si="2"/>
        <v>56931792</v>
      </c>
      <c r="I40" s="26">
        <f>D40*요율기준!$B$13</f>
        <v>1500000</v>
      </c>
      <c r="J40" s="29">
        <f>'4대보험'!F40*12</f>
        <v>3158520</v>
      </c>
      <c r="K40" s="26">
        <f t="shared" si="3"/>
        <v>5907654.4000000004</v>
      </c>
      <c r="L40" s="26">
        <f t="shared" si="4"/>
        <v>46365617.600000001</v>
      </c>
      <c r="M40" s="26">
        <f t="shared" si="5"/>
        <v>5694842.6399999997</v>
      </c>
      <c r="N40" s="26">
        <f t="shared" si="6"/>
        <v>564320</v>
      </c>
      <c r="O40" s="26">
        <f t="shared" si="7"/>
        <v>5130522.6399999997</v>
      </c>
      <c r="P40" s="28">
        <f t="shared" si="8"/>
        <v>427540</v>
      </c>
      <c r="Q40" s="28">
        <f>TRUNC(P40*요율기준!$B$12,-1)</f>
        <v>42750</v>
      </c>
      <c r="R40" s="28">
        <f t="shared" si="9"/>
        <v>470290</v>
      </c>
    </row>
    <row r="41" spans="1:18" x14ac:dyDescent="0.4">
      <c r="A41" s="30">
        <f>급여대장!A41</f>
        <v>46023</v>
      </c>
      <c r="B41" s="17">
        <v>4</v>
      </c>
      <c r="C41" s="25" t="str">
        <f>급여대장!D41</f>
        <v>라온제</v>
      </c>
      <c r="D41" s="31">
        <f>직원정보!I8</f>
        <v>1</v>
      </c>
      <c r="E41" s="29">
        <f>급여대장!V41</f>
        <v>4100476</v>
      </c>
      <c r="F41" s="26">
        <f t="shared" si="0"/>
        <v>49205712</v>
      </c>
      <c r="G41" s="26">
        <f t="shared" si="1"/>
        <v>12210285.6</v>
      </c>
      <c r="H41" s="26">
        <f t="shared" si="2"/>
        <v>36995426.399999999</v>
      </c>
      <c r="I41" s="26">
        <f>D41*요율기준!$B$13</f>
        <v>1500000</v>
      </c>
      <c r="J41" s="29">
        <f>'4대보험'!F41*12</f>
        <v>2214240</v>
      </c>
      <c r="K41" s="26">
        <f t="shared" si="3"/>
        <v>5068228.4800000004</v>
      </c>
      <c r="L41" s="26">
        <f t="shared" si="4"/>
        <v>28212957.919999998</v>
      </c>
      <c r="M41" s="26">
        <f t="shared" si="5"/>
        <v>2971943.6879999996</v>
      </c>
      <c r="N41" s="26">
        <f t="shared" si="6"/>
        <v>660000</v>
      </c>
      <c r="O41" s="26">
        <f t="shared" si="7"/>
        <v>2311943.6879999996</v>
      </c>
      <c r="P41" s="28">
        <f t="shared" si="8"/>
        <v>192660</v>
      </c>
      <c r="Q41" s="28">
        <f>TRUNC(P41*요율기준!$B$12,-1)</f>
        <v>19260</v>
      </c>
      <c r="R41" s="28">
        <f t="shared" si="9"/>
        <v>211920</v>
      </c>
    </row>
    <row r="42" spans="1:18" x14ac:dyDescent="0.4">
      <c r="A42" s="30">
        <f>급여대장!A42</f>
        <v>46054</v>
      </c>
      <c r="B42" s="17">
        <v>4</v>
      </c>
      <c r="C42" s="25" t="str">
        <f>급여대장!D42</f>
        <v>라온제</v>
      </c>
      <c r="D42" s="31">
        <f>직원정보!I8</f>
        <v>1</v>
      </c>
      <c r="E42" s="29">
        <f>급여대장!V42</f>
        <v>4000000</v>
      </c>
      <c r="F42" s="26">
        <f t="shared" si="0"/>
        <v>48000000</v>
      </c>
      <c r="G42" s="26">
        <f t="shared" si="1"/>
        <v>12150000</v>
      </c>
      <c r="H42" s="26">
        <f t="shared" si="2"/>
        <v>35850000</v>
      </c>
      <c r="I42" s="26">
        <f>D42*요율기준!$B$13</f>
        <v>1500000</v>
      </c>
      <c r="J42" s="29">
        <f>'4대보험'!F42*12</f>
        <v>2160000</v>
      </c>
      <c r="K42" s="26">
        <f t="shared" si="3"/>
        <v>5020000</v>
      </c>
      <c r="L42" s="26">
        <f t="shared" si="4"/>
        <v>27170000</v>
      </c>
      <c r="M42" s="26">
        <f t="shared" si="5"/>
        <v>2815500</v>
      </c>
      <c r="N42" s="26">
        <f t="shared" si="6"/>
        <v>660000</v>
      </c>
      <c r="O42" s="26">
        <f t="shared" si="7"/>
        <v>2155500</v>
      </c>
      <c r="P42" s="28">
        <f t="shared" si="8"/>
        <v>179620</v>
      </c>
      <c r="Q42" s="28">
        <f>TRUNC(P42*요율기준!$B$12,-1)</f>
        <v>17960</v>
      </c>
      <c r="R42" s="28">
        <f t="shared" si="9"/>
        <v>197580</v>
      </c>
    </row>
    <row r="43" spans="1:18" x14ac:dyDescent="0.4">
      <c r="A43" s="30">
        <f>급여대장!A43</f>
        <v>46082</v>
      </c>
      <c r="B43" s="17">
        <v>4</v>
      </c>
      <c r="C43" s="25" t="str">
        <f>급여대장!D43</f>
        <v>라온제</v>
      </c>
      <c r="D43" s="31">
        <f>직원정보!I8</f>
        <v>1</v>
      </c>
      <c r="E43" s="29">
        <f>급여대장!V43</f>
        <v>4100476</v>
      </c>
      <c r="F43" s="26">
        <f t="shared" si="0"/>
        <v>49205712</v>
      </c>
      <c r="G43" s="26">
        <f t="shared" si="1"/>
        <v>12210285.6</v>
      </c>
      <c r="H43" s="26">
        <f t="shared" si="2"/>
        <v>36995426.399999999</v>
      </c>
      <c r="I43" s="26">
        <f>D43*요율기준!$B$13</f>
        <v>1500000</v>
      </c>
      <c r="J43" s="29">
        <f>'4대보험'!F43*12</f>
        <v>2214240</v>
      </c>
      <c r="K43" s="26">
        <f t="shared" si="3"/>
        <v>5068228.4800000004</v>
      </c>
      <c r="L43" s="26">
        <f t="shared" si="4"/>
        <v>28212957.919999998</v>
      </c>
      <c r="M43" s="26">
        <f t="shared" si="5"/>
        <v>2971943.6879999996</v>
      </c>
      <c r="N43" s="26">
        <f t="shared" si="6"/>
        <v>660000</v>
      </c>
      <c r="O43" s="26">
        <f t="shared" si="7"/>
        <v>2311943.6879999996</v>
      </c>
      <c r="P43" s="28">
        <f t="shared" si="8"/>
        <v>192660</v>
      </c>
      <c r="Q43" s="28">
        <f>TRUNC(P43*요율기준!$B$12,-1)</f>
        <v>19260</v>
      </c>
      <c r="R43" s="28">
        <f t="shared" si="9"/>
        <v>211920</v>
      </c>
    </row>
    <row r="44" spans="1:18" x14ac:dyDescent="0.4">
      <c r="A44" s="30">
        <f>급여대장!A44</f>
        <v>46113</v>
      </c>
      <c r="B44" s="17">
        <v>4</v>
      </c>
      <c r="C44" s="25" t="str">
        <f>급여대장!D44</f>
        <v>라온제</v>
      </c>
      <c r="D44" s="31">
        <f>직원정보!I8</f>
        <v>1</v>
      </c>
      <c r="E44" s="29">
        <f>급여대장!V44</f>
        <v>4000000</v>
      </c>
      <c r="F44" s="26">
        <f t="shared" si="0"/>
        <v>48000000</v>
      </c>
      <c r="G44" s="26">
        <f t="shared" si="1"/>
        <v>12150000</v>
      </c>
      <c r="H44" s="26">
        <f t="shared" si="2"/>
        <v>35850000</v>
      </c>
      <c r="I44" s="26">
        <f>D44*요율기준!$B$13</f>
        <v>1500000</v>
      </c>
      <c r="J44" s="29">
        <f>'4대보험'!F44*12</f>
        <v>2160000</v>
      </c>
      <c r="K44" s="26">
        <f t="shared" si="3"/>
        <v>5020000</v>
      </c>
      <c r="L44" s="26">
        <f t="shared" si="4"/>
        <v>27170000</v>
      </c>
      <c r="M44" s="26">
        <f t="shared" si="5"/>
        <v>2815500</v>
      </c>
      <c r="N44" s="26">
        <f t="shared" si="6"/>
        <v>660000</v>
      </c>
      <c r="O44" s="26">
        <f t="shared" si="7"/>
        <v>2155500</v>
      </c>
      <c r="P44" s="28">
        <f t="shared" si="8"/>
        <v>179620</v>
      </c>
      <c r="Q44" s="28">
        <f>TRUNC(P44*요율기준!$B$12,-1)</f>
        <v>17960</v>
      </c>
      <c r="R44" s="28">
        <f t="shared" si="9"/>
        <v>197580</v>
      </c>
    </row>
    <row r="45" spans="1:18" x14ac:dyDescent="0.4">
      <c r="A45" s="30">
        <f>급여대장!A45</f>
        <v>46143</v>
      </c>
      <c r="B45" s="17">
        <v>4</v>
      </c>
      <c r="C45" s="25" t="str">
        <f>급여대장!D45</f>
        <v>라온제</v>
      </c>
      <c r="D45" s="31">
        <f>직원정보!I8</f>
        <v>1</v>
      </c>
      <c r="E45" s="29">
        <f>급여대장!V45</f>
        <v>4100476</v>
      </c>
      <c r="F45" s="26">
        <f t="shared" si="0"/>
        <v>49205712</v>
      </c>
      <c r="G45" s="26">
        <f t="shared" si="1"/>
        <v>12210285.6</v>
      </c>
      <c r="H45" s="26">
        <f t="shared" si="2"/>
        <v>36995426.399999999</v>
      </c>
      <c r="I45" s="26">
        <f>D45*요율기준!$B$13</f>
        <v>1500000</v>
      </c>
      <c r="J45" s="29">
        <f>'4대보험'!F45*12</f>
        <v>2214240</v>
      </c>
      <c r="K45" s="26">
        <f t="shared" si="3"/>
        <v>5068228.4800000004</v>
      </c>
      <c r="L45" s="26">
        <f t="shared" si="4"/>
        <v>28212957.919999998</v>
      </c>
      <c r="M45" s="26">
        <f t="shared" si="5"/>
        <v>2971943.6879999996</v>
      </c>
      <c r="N45" s="26">
        <f t="shared" si="6"/>
        <v>660000</v>
      </c>
      <c r="O45" s="26">
        <f t="shared" si="7"/>
        <v>2311943.6879999996</v>
      </c>
      <c r="P45" s="28">
        <f t="shared" si="8"/>
        <v>192660</v>
      </c>
      <c r="Q45" s="28">
        <f>TRUNC(P45*요율기준!$B$12,-1)</f>
        <v>19260</v>
      </c>
      <c r="R45" s="28">
        <f t="shared" si="9"/>
        <v>211920</v>
      </c>
    </row>
    <row r="46" spans="1:18" x14ac:dyDescent="0.4">
      <c r="A46" s="30">
        <f>급여대장!A46</f>
        <v>46174</v>
      </c>
      <c r="B46" s="17">
        <v>4</v>
      </c>
      <c r="C46" s="25" t="str">
        <f>급여대장!D46</f>
        <v>라온제</v>
      </c>
      <c r="D46" s="31">
        <f>직원정보!I8</f>
        <v>1</v>
      </c>
      <c r="E46" s="29">
        <f>급여대장!V46</f>
        <v>4000000</v>
      </c>
      <c r="F46" s="26">
        <f t="shared" si="0"/>
        <v>48000000</v>
      </c>
      <c r="G46" s="26">
        <f t="shared" si="1"/>
        <v>12150000</v>
      </c>
      <c r="H46" s="26">
        <f t="shared" si="2"/>
        <v>35850000</v>
      </c>
      <c r="I46" s="26">
        <f>D46*요율기준!$B$13</f>
        <v>1500000</v>
      </c>
      <c r="J46" s="29">
        <f>'4대보험'!F46*12</f>
        <v>2160000</v>
      </c>
      <c r="K46" s="26">
        <f t="shared" si="3"/>
        <v>5020000</v>
      </c>
      <c r="L46" s="26">
        <f t="shared" si="4"/>
        <v>27170000</v>
      </c>
      <c r="M46" s="26">
        <f t="shared" si="5"/>
        <v>2815500</v>
      </c>
      <c r="N46" s="26">
        <f t="shared" si="6"/>
        <v>660000</v>
      </c>
      <c r="O46" s="26">
        <f t="shared" si="7"/>
        <v>2155500</v>
      </c>
      <c r="P46" s="28">
        <f t="shared" si="8"/>
        <v>179620</v>
      </c>
      <c r="Q46" s="28">
        <f>TRUNC(P46*요율기준!$B$12,-1)</f>
        <v>17960</v>
      </c>
      <c r="R46" s="28">
        <f t="shared" si="9"/>
        <v>197580</v>
      </c>
    </row>
    <row r="47" spans="1:18" x14ac:dyDescent="0.4">
      <c r="A47" s="30">
        <f>급여대장!A47</f>
        <v>46204</v>
      </c>
      <c r="B47" s="17">
        <v>4</v>
      </c>
      <c r="C47" s="25" t="str">
        <f>급여대장!D47</f>
        <v>라온제</v>
      </c>
      <c r="D47" s="31">
        <f>직원정보!I8</f>
        <v>1</v>
      </c>
      <c r="E47" s="29">
        <f>급여대장!V47</f>
        <v>4100476</v>
      </c>
      <c r="F47" s="26">
        <f t="shared" si="0"/>
        <v>49205712</v>
      </c>
      <c r="G47" s="26">
        <f t="shared" si="1"/>
        <v>12210285.6</v>
      </c>
      <c r="H47" s="26">
        <f t="shared" si="2"/>
        <v>36995426.399999999</v>
      </c>
      <c r="I47" s="26">
        <f>D47*요율기준!$B$13</f>
        <v>1500000</v>
      </c>
      <c r="J47" s="29">
        <f>'4대보험'!F47*12</f>
        <v>2214240</v>
      </c>
      <c r="K47" s="26">
        <f t="shared" si="3"/>
        <v>5068228.4800000004</v>
      </c>
      <c r="L47" s="26">
        <f t="shared" si="4"/>
        <v>28212957.919999998</v>
      </c>
      <c r="M47" s="26">
        <f t="shared" si="5"/>
        <v>2971943.6879999996</v>
      </c>
      <c r="N47" s="26">
        <f t="shared" si="6"/>
        <v>660000</v>
      </c>
      <c r="O47" s="26">
        <f t="shared" si="7"/>
        <v>2311943.6879999996</v>
      </c>
      <c r="P47" s="28">
        <f t="shared" si="8"/>
        <v>192660</v>
      </c>
      <c r="Q47" s="28">
        <f>TRUNC(P47*요율기준!$B$12,-1)</f>
        <v>19260</v>
      </c>
      <c r="R47" s="28">
        <f t="shared" si="9"/>
        <v>211920</v>
      </c>
    </row>
    <row r="48" spans="1:18" x14ac:dyDescent="0.4">
      <c r="A48" s="30">
        <f>급여대장!A48</f>
        <v>46235</v>
      </c>
      <c r="B48" s="17">
        <v>4</v>
      </c>
      <c r="C48" s="25" t="str">
        <f>급여대장!D48</f>
        <v>라온제</v>
      </c>
      <c r="D48" s="31">
        <f>직원정보!I8</f>
        <v>1</v>
      </c>
      <c r="E48" s="29">
        <f>급여대장!V48</f>
        <v>4000000</v>
      </c>
      <c r="F48" s="26">
        <f t="shared" si="0"/>
        <v>48000000</v>
      </c>
      <c r="G48" s="26">
        <f t="shared" si="1"/>
        <v>12150000</v>
      </c>
      <c r="H48" s="26">
        <f t="shared" si="2"/>
        <v>35850000</v>
      </c>
      <c r="I48" s="26">
        <f>D48*요율기준!$B$13</f>
        <v>1500000</v>
      </c>
      <c r="J48" s="29">
        <f>'4대보험'!F48*12</f>
        <v>2160000</v>
      </c>
      <c r="K48" s="26">
        <f t="shared" si="3"/>
        <v>5020000</v>
      </c>
      <c r="L48" s="26">
        <f t="shared" si="4"/>
        <v>27170000</v>
      </c>
      <c r="M48" s="26">
        <f t="shared" si="5"/>
        <v>2815500</v>
      </c>
      <c r="N48" s="26">
        <f t="shared" si="6"/>
        <v>660000</v>
      </c>
      <c r="O48" s="26">
        <f t="shared" si="7"/>
        <v>2155500</v>
      </c>
      <c r="P48" s="28">
        <f t="shared" si="8"/>
        <v>179620</v>
      </c>
      <c r="Q48" s="28">
        <f>TRUNC(P48*요율기준!$B$12,-1)</f>
        <v>17960</v>
      </c>
      <c r="R48" s="28">
        <f t="shared" si="9"/>
        <v>197580</v>
      </c>
    </row>
    <row r="49" spans="1:18" x14ac:dyDescent="0.4">
      <c r="A49" s="30">
        <f>급여대장!A49</f>
        <v>46266</v>
      </c>
      <c r="B49" s="17">
        <v>4</v>
      </c>
      <c r="C49" s="25" t="str">
        <f>급여대장!D49</f>
        <v>라온제</v>
      </c>
      <c r="D49" s="31">
        <f>직원정보!I8</f>
        <v>1</v>
      </c>
      <c r="E49" s="29">
        <f>급여대장!V49</f>
        <v>4100476</v>
      </c>
      <c r="F49" s="26">
        <f t="shared" si="0"/>
        <v>49205712</v>
      </c>
      <c r="G49" s="26">
        <f t="shared" si="1"/>
        <v>12210285.6</v>
      </c>
      <c r="H49" s="26">
        <f t="shared" si="2"/>
        <v>36995426.399999999</v>
      </c>
      <c r="I49" s="26">
        <f>D49*요율기준!$B$13</f>
        <v>1500000</v>
      </c>
      <c r="J49" s="29">
        <f>'4대보험'!F49*12</f>
        <v>2214240</v>
      </c>
      <c r="K49" s="26">
        <f t="shared" si="3"/>
        <v>5068228.4800000004</v>
      </c>
      <c r="L49" s="26">
        <f t="shared" si="4"/>
        <v>28212957.919999998</v>
      </c>
      <c r="M49" s="26">
        <f t="shared" si="5"/>
        <v>2971943.6879999996</v>
      </c>
      <c r="N49" s="26">
        <f t="shared" si="6"/>
        <v>660000</v>
      </c>
      <c r="O49" s="26">
        <f t="shared" si="7"/>
        <v>2311943.6879999996</v>
      </c>
      <c r="P49" s="28">
        <f t="shared" si="8"/>
        <v>192660</v>
      </c>
      <c r="Q49" s="28">
        <f>TRUNC(P49*요율기준!$B$12,-1)</f>
        <v>19260</v>
      </c>
      <c r="R49" s="28">
        <f t="shared" si="9"/>
        <v>211920</v>
      </c>
    </row>
    <row r="50" spans="1:18" x14ac:dyDescent="0.4">
      <c r="A50" s="30">
        <f>급여대장!A50</f>
        <v>46296</v>
      </c>
      <c r="B50" s="17">
        <v>4</v>
      </c>
      <c r="C50" s="25" t="str">
        <f>급여대장!D50</f>
        <v>라온제</v>
      </c>
      <c r="D50" s="31">
        <f>직원정보!I8</f>
        <v>1</v>
      </c>
      <c r="E50" s="29">
        <f>급여대장!V50</f>
        <v>4000000</v>
      </c>
      <c r="F50" s="26">
        <f t="shared" si="0"/>
        <v>48000000</v>
      </c>
      <c r="G50" s="26">
        <f t="shared" si="1"/>
        <v>12150000</v>
      </c>
      <c r="H50" s="26">
        <f t="shared" si="2"/>
        <v>35850000</v>
      </c>
      <c r="I50" s="26">
        <f>D50*요율기준!$B$13</f>
        <v>1500000</v>
      </c>
      <c r="J50" s="29">
        <f>'4대보험'!F50*12</f>
        <v>2160000</v>
      </c>
      <c r="K50" s="26">
        <f t="shared" si="3"/>
        <v>5020000</v>
      </c>
      <c r="L50" s="26">
        <f t="shared" si="4"/>
        <v>27170000</v>
      </c>
      <c r="M50" s="26">
        <f t="shared" si="5"/>
        <v>2815500</v>
      </c>
      <c r="N50" s="26">
        <f t="shared" si="6"/>
        <v>660000</v>
      </c>
      <c r="O50" s="26">
        <f t="shared" si="7"/>
        <v>2155500</v>
      </c>
      <c r="P50" s="28">
        <f t="shared" si="8"/>
        <v>179620</v>
      </c>
      <c r="Q50" s="28">
        <f>TRUNC(P50*요율기준!$B$12,-1)</f>
        <v>17960</v>
      </c>
      <c r="R50" s="28">
        <f t="shared" si="9"/>
        <v>197580</v>
      </c>
    </row>
    <row r="51" spans="1:18" x14ac:dyDescent="0.4">
      <c r="A51" s="30">
        <f>급여대장!A51</f>
        <v>46327</v>
      </c>
      <c r="B51" s="17">
        <v>4</v>
      </c>
      <c r="C51" s="25" t="str">
        <f>급여대장!D51</f>
        <v>라온제</v>
      </c>
      <c r="D51" s="31">
        <f>직원정보!I8</f>
        <v>1</v>
      </c>
      <c r="E51" s="29">
        <f>급여대장!V51</f>
        <v>4100476</v>
      </c>
      <c r="F51" s="26">
        <f t="shared" si="0"/>
        <v>49205712</v>
      </c>
      <c r="G51" s="26">
        <f t="shared" si="1"/>
        <v>12210285.6</v>
      </c>
      <c r="H51" s="26">
        <f t="shared" si="2"/>
        <v>36995426.399999999</v>
      </c>
      <c r="I51" s="26">
        <f>D51*요율기준!$B$13</f>
        <v>1500000</v>
      </c>
      <c r="J51" s="29">
        <f>'4대보험'!F51*12</f>
        <v>2214240</v>
      </c>
      <c r="K51" s="26">
        <f t="shared" si="3"/>
        <v>5068228.4800000004</v>
      </c>
      <c r="L51" s="26">
        <f t="shared" si="4"/>
        <v>28212957.919999998</v>
      </c>
      <c r="M51" s="26">
        <f t="shared" si="5"/>
        <v>2971943.6879999996</v>
      </c>
      <c r="N51" s="26">
        <f t="shared" si="6"/>
        <v>660000</v>
      </c>
      <c r="O51" s="26">
        <f t="shared" si="7"/>
        <v>2311943.6879999996</v>
      </c>
      <c r="P51" s="28">
        <f t="shared" si="8"/>
        <v>192660</v>
      </c>
      <c r="Q51" s="28">
        <f>TRUNC(P51*요율기준!$B$12,-1)</f>
        <v>19260</v>
      </c>
      <c r="R51" s="28">
        <f t="shared" si="9"/>
        <v>211920</v>
      </c>
    </row>
    <row r="52" spans="1:18" x14ac:dyDescent="0.4">
      <c r="A52" s="30">
        <f>급여대장!A52</f>
        <v>46357</v>
      </c>
      <c r="B52" s="17">
        <v>4</v>
      </c>
      <c r="C52" s="25" t="str">
        <f>급여대장!D52</f>
        <v>라온제</v>
      </c>
      <c r="D52" s="31">
        <f>직원정보!I8</f>
        <v>1</v>
      </c>
      <c r="E52" s="29">
        <f>급여대장!V52</f>
        <v>4000000</v>
      </c>
      <c r="F52" s="26">
        <f t="shared" si="0"/>
        <v>48000000</v>
      </c>
      <c r="G52" s="26">
        <f t="shared" si="1"/>
        <v>12150000</v>
      </c>
      <c r="H52" s="26">
        <f t="shared" si="2"/>
        <v>35850000</v>
      </c>
      <c r="I52" s="26">
        <f>D52*요율기준!$B$13</f>
        <v>1500000</v>
      </c>
      <c r="J52" s="29">
        <f>'4대보험'!F52*12</f>
        <v>2160000</v>
      </c>
      <c r="K52" s="26">
        <f t="shared" si="3"/>
        <v>5020000</v>
      </c>
      <c r="L52" s="26">
        <f t="shared" si="4"/>
        <v>27170000</v>
      </c>
      <c r="M52" s="26">
        <f t="shared" si="5"/>
        <v>2815500</v>
      </c>
      <c r="N52" s="26">
        <f t="shared" si="6"/>
        <v>660000</v>
      </c>
      <c r="O52" s="26">
        <f t="shared" si="7"/>
        <v>2155500</v>
      </c>
      <c r="P52" s="28">
        <f t="shared" si="8"/>
        <v>179620</v>
      </c>
      <c r="Q52" s="28">
        <f>TRUNC(P52*요율기준!$B$12,-1)</f>
        <v>17960</v>
      </c>
      <c r="R52" s="28">
        <f t="shared" si="9"/>
        <v>197580</v>
      </c>
    </row>
    <row r="53" spans="1:18" x14ac:dyDescent="0.4">
      <c r="A53" s="30">
        <f>급여대장!A53</f>
        <v>46023</v>
      </c>
      <c r="B53" s="17">
        <v>5</v>
      </c>
      <c r="C53" s="25" t="str">
        <f>급여대장!D53</f>
        <v>마루한</v>
      </c>
      <c r="D53" s="31">
        <f>직원정보!I9</f>
        <v>1</v>
      </c>
      <c r="E53" s="29">
        <f>급여대장!V53</f>
        <v>5934682</v>
      </c>
      <c r="F53" s="26">
        <f t="shared" si="0"/>
        <v>71216184</v>
      </c>
      <c r="G53" s="26">
        <f t="shared" si="1"/>
        <v>13310809.199999999</v>
      </c>
      <c r="H53" s="26">
        <f t="shared" si="2"/>
        <v>57905374.799999997</v>
      </c>
      <c r="I53" s="26">
        <f>D53*요율기준!$B$13</f>
        <v>1500000</v>
      </c>
      <c r="J53" s="29">
        <f>'4대보험'!F53*12</f>
        <v>3204720</v>
      </c>
      <c r="K53" s="26">
        <f t="shared" si="3"/>
        <v>5948647.3599999994</v>
      </c>
      <c r="L53" s="26">
        <f t="shared" si="4"/>
        <v>47252007.439999998</v>
      </c>
      <c r="M53" s="26">
        <f t="shared" si="5"/>
        <v>5827801.1159999995</v>
      </c>
      <c r="N53" s="26">
        <f t="shared" si="6"/>
        <v>500000</v>
      </c>
      <c r="O53" s="26">
        <f t="shared" si="7"/>
        <v>5327801.1159999995</v>
      </c>
      <c r="P53" s="28">
        <f t="shared" si="8"/>
        <v>443980</v>
      </c>
      <c r="Q53" s="28">
        <f>TRUNC(P53*요율기준!$B$12,-1)</f>
        <v>44390</v>
      </c>
      <c r="R53" s="28">
        <f t="shared" si="9"/>
        <v>488370</v>
      </c>
    </row>
    <row r="54" spans="1:18" x14ac:dyDescent="0.4">
      <c r="A54" s="30">
        <f>급여대장!A54</f>
        <v>46054</v>
      </c>
      <c r="B54" s="17">
        <v>5</v>
      </c>
      <c r="C54" s="25" t="str">
        <f>급여대장!D54</f>
        <v>마루한</v>
      </c>
      <c r="D54" s="31">
        <f>직원정보!I9</f>
        <v>1</v>
      </c>
      <c r="E54" s="29">
        <f>급여대장!V54</f>
        <v>5996404</v>
      </c>
      <c r="F54" s="26">
        <f t="shared" si="0"/>
        <v>71956848</v>
      </c>
      <c r="G54" s="26">
        <f t="shared" si="1"/>
        <v>13347842.4</v>
      </c>
      <c r="H54" s="26">
        <f t="shared" si="2"/>
        <v>58609005.600000001</v>
      </c>
      <c r="I54" s="26">
        <f>D54*요율기준!$B$13</f>
        <v>1500000</v>
      </c>
      <c r="J54" s="29">
        <f>'4대보험'!F54*12</f>
        <v>3237960</v>
      </c>
      <c r="K54" s="26">
        <f t="shared" si="3"/>
        <v>5978273.9199999999</v>
      </c>
      <c r="L54" s="26">
        <f t="shared" si="4"/>
        <v>47892771.68</v>
      </c>
      <c r="M54" s="26">
        <f t="shared" si="5"/>
        <v>5923915.7519999994</v>
      </c>
      <c r="N54" s="26">
        <f t="shared" si="6"/>
        <v>500000</v>
      </c>
      <c r="O54" s="26">
        <f t="shared" si="7"/>
        <v>5423915.7519999994</v>
      </c>
      <c r="P54" s="28">
        <f t="shared" si="8"/>
        <v>451990</v>
      </c>
      <c r="Q54" s="28">
        <f>TRUNC(P54*요율기준!$B$12,-1)</f>
        <v>45190</v>
      </c>
      <c r="R54" s="28">
        <f t="shared" si="9"/>
        <v>497180</v>
      </c>
    </row>
    <row r="55" spans="1:18" x14ac:dyDescent="0.4">
      <c r="A55" s="30">
        <f>급여대장!A55</f>
        <v>46082</v>
      </c>
      <c r="B55" s="17">
        <v>5</v>
      </c>
      <c r="C55" s="25" t="str">
        <f>급여대장!D55</f>
        <v>마루한</v>
      </c>
      <c r="D55" s="31">
        <f>직원정보!I9</f>
        <v>1</v>
      </c>
      <c r="E55" s="29">
        <f>급여대장!V55</f>
        <v>5410045</v>
      </c>
      <c r="F55" s="26">
        <f t="shared" si="0"/>
        <v>64920540</v>
      </c>
      <c r="G55" s="26">
        <f t="shared" si="1"/>
        <v>12996027</v>
      </c>
      <c r="H55" s="26">
        <f t="shared" si="2"/>
        <v>51924513</v>
      </c>
      <c r="I55" s="26">
        <f>D55*요율기준!$B$13</f>
        <v>1500000</v>
      </c>
      <c r="J55" s="29">
        <f>'4대보험'!F55*12</f>
        <v>2921400</v>
      </c>
      <c r="K55" s="26">
        <f t="shared" si="3"/>
        <v>5696821.5999999996</v>
      </c>
      <c r="L55" s="26">
        <f t="shared" si="4"/>
        <v>41806291.399999999</v>
      </c>
      <c r="M55" s="26">
        <f t="shared" si="5"/>
        <v>5010943.709999999</v>
      </c>
      <c r="N55" s="26">
        <f t="shared" si="6"/>
        <v>660000</v>
      </c>
      <c r="O55" s="26">
        <f t="shared" si="7"/>
        <v>4350943.709999999</v>
      </c>
      <c r="P55" s="28">
        <f t="shared" si="8"/>
        <v>362570</v>
      </c>
      <c r="Q55" s="28">
        <f>TRUNC(P55*요율기준!$B$12,-1)</f>
        <v>36250</v>
      </c>
      <c r="R55" s="28">
        <f t="shared" si="9"/>
        <v>398820</v>
      </c>
    </row>
    <row r="56" spans="1:18" x14ac:dyDescent="0.4">
      <c r="A56" s="30">
        <f>급여대장!A56</f>
        <v>46113</v>
      </c>
      <c r="B56" s="17">
        <v>5</v>
      </c>
      <c r="C56" s="25" t="str">
        <f>급여대장!D56</f>
        <v>마루한</v>
      </c>
      <c r="D56" s="31">
        <f>직원정보!I9</f>
        <v>1</v>
      </c>
      <c r="E56" s="29">
        <f>급여대장!V56</f>
        <v>5595211</v>
      </c>
      <c r="F56" s="26">
        <f t="shared" si="0"/>
        <v>67142532</v>
      </c>
      <c r="G56" s="26">
        <f t="shared" si="1"/>
        <v>13107126.6</v>
      </c>
      <c r="H56" s="26">
        <f t="shared" si="2"/>
        <v>54035405.399999999</v>
      </c>
      <c r="I56" s="26">
        <f>D56*요율기준!$B$13</f>
        <v>1500000</v>
      </c>
      <c r="J56" s="29">
        <f>'4대보험'!F56*12</f>
        <v>3021360</v>
      </c>
      <c r="K56" s="26">
        <f t="shared" si="3"/>
        <v>5785701.2800000003</v>
      </c>
      <c r="L56" s="26">
        <f t="shared" si="4"/>
        <v>43728344.119999997</v>
      </c>
      <c r="M56" s="26">
        <f t="shared" si="5"/>
        <v>5299251.6179999998</v>
      </c>
      <c r="N56" s="26">
        <f t="shared" si="6"/>
        <v>660000</v>
      </c>
      <c r="O56" s="26">
        <f t="shared" si="7"/>
        <v>4639251.6179999998</v>
      </c>
      <c r="P56" s="28">
        <f t="shared" si="8"/>
        <v>386600</v>
      </c>
      <c r="Q56" s="28">
        <f>TRUNC(P56*요율기준!$B$12,-1)</f>
        <v>38660</v>
      </c>
      <c r="R56" s="28">
        <f t="shared" si="9"/>
        <v>425260</v>
      </c>
    </row>
    <row r="57" spans="1:18" x14ac:dyDescent="0.4">
      <c r="A57" s="30">
        <f>급여대장!A57</f>
        <v>46143</v>
      </c>
      <c r="B57" s="17">
        <v>5</v>
      </c>
      <c r="C57" s="25" t="str">
        <f>급여대장!D57</f>
        <v>마루한</v>
      </c>
      <c r="D57" s="31">
        <f>직원정보!I9</f>
        <v>1</v>
      </c>
      <c r="E57" s="29">
        <f>급여대장!V57</f>
        <v>5780377</v>
      </c>
      <c r="F57" s="26">
        <f t="shared" si="0"/>
        <v>69364524</v>
      </c>
      <c r="G57" s="26">
        <f t="shared" si="1"/>
        <v>13218226.199999999</v>
      </c>
      <c r="H57" s="26">
        <f t="shared" si="2"/>
        <v>56146297.799999997</v>
      </c>
      <c r="I57" s="26">
        <f>D57*요율기준!$B$13</f>
        <v>1500000</v>
      </c>
      <c r="J57" s="29">
        <f>'4대보험'!F57*12</f>
        <v>3121320</v>
      </c>
      <c r="K57" s="26">
        <f t="shared" si="3"/>
        <v>5874580.96</v>
      </c>
      <c r="L57" s="26">
        <f t="shared" si="4"/>
        <v>45650396.839999996</v>
      </c>
      <c r="M57" s="26">
        <f t="shared" si="5"/>
        <v>5587559.5259999996</v>
      </c>
      <c r="N57" s="26">
        <f t="shared" si="6"/>
        <v>660000</v>
      </c>
      <c r="O57" s="26">
        <f t="shared" si="7"/>
        <v>4927559.5259999996</v>
      </c>
      <c r="P57" s="28">
        <f t="shared" si="8"/>
        <v>410620</v>
      </c>
      <c r="Q57" s="28">
        <f>TRUNC(P57*요율기준!$B$12,-1)</f>
        <v>41060</v>
      </c>
      <c r="R57" s="28">
        <f t="shared" si="9"/>
        <v>451680</v>
      </c>
    </row>
    <row r="58" spans="1:18" x14ac:dyDescent="0.4">
      <c r="A58" s="30">
        <f>급여대장!A58</f>
        <v>46174</v>
      </c>
      <c r="B58" s="17">
        <v>5</v>
      </c>
      <c r="C58" s="25" t="str">
        <f>급여대장!D58</f>
        <v>마루한</v>
      </c>
      <c r="D58" s="31">
        <f>직원정보!I9</f>
        <v>1</v>
      </c>
      <c r="E58" s="29">
        <f>급여대장!V58</f>
        <v>5842099</v>
      </c>
      <c r="F58" s="26">
        <f t="shared" si="0"/>
        <v>70105188</v>
      </c>
      <c r="G58" s="26">
        <f t="shared" si="1"/>
        <v>13255259.4</v>
      </c>
      <c r="H58" s="26">
        <f t="shared" si="2"/>
        <v>56849928.600000001</v>
      </c>
      <c r="I58" s="26">
        <f>D58*요율기준!$B$13</f>
        <v>1500000</v>
      </c>
      <c r="J58" s="29">
        <f>'4대보험'!F58*12</f>
        <v>3154680</v>
      </c>
      <c r="K58" s="26">
        <f t="shared" si="3"/>
        <v>5904207.5199999996</v>
      </c>
      <c r="L58" s="26">
        <f t="shared" si="4"/>
        <v>46291041.079999998</v>
      </c>
      <c r="M58" s="26">
        <f t="shared" si="5"/>
        <v>5683656.1619999995</v>
      </c>
      <c r="N58" s="26">
        <f t="shared" si="6"/>
        <v>607406</v>
      </c>
      <c r="O58" s="26">
        <f t="shared" si="7"/>
        <v>5076250.1619999995</v>
      </c>
      <c r="P58" s="28">
        <f t="shared" si="8"/>
        <v>423020</v>
      </c>
      <c r="Q58" s="28">
        <f>TRUNC(P58*요율기준!$B$12,-1)</f>
        <v>42300</v>
      </c>
      <c r="R58" s="28">
        <f t="shared" si="9"/>
        <v>465320</v>
      </c>
    </row>
    <row r="59" spans="1:18" x14ac:dyDescent="0.4">
      <c r="A59" s="30">
        <f>급여대장!A59</f>
        <v>46204</v>
      </c>
      <c r="B59" s="17">
        <v>5</v>
      </c>
      <c r="C59" s="25" t="str">
        <f>급여대장!D59</f>
        <v>마루한</v>
      </c>
      <c r="D59" s="31">
        <f>직원정보!I9</f>
        <v>1</v>
      </c>
      <c r="E59" s="29">
        <f>급여대장!V59</f>
        <v>6027265</v>
      </c>
      <c r="F59" s="26">
        <f t="shared" si="0"/>
        <v>72327180</v>
      </c>
      <c r="G59" s="26">
        <f t="shared" si="1"/>
        <v>13366359</v>
      </c>
      <c r="H59" s="26">
        <f t="shared" si="2"/>
        <v>58960821</v>
      </c>
      <c r="I59" s="26">
        <f>D59*요율기준!$B$13</f>
        <v>1500000</v>
      </c>
      <c r="J59" s="29">
        <f>'4대보험'!F59*12</f>
        <v>3254640</v>
      </c>
      <c r="K59" s="26">
        <f t="shared" si="3"/>
        <v>5993087.2000000002</v>
      </c>
      <c r="L59" s="26">
        <f t="shared" si="4"/>
        <v>48213093.799999997</v>
      </c>
      <c r="M59" s="26">
        <f t="shared" si="5"/>
        <v>5971964.0699999994</v>
      </c>
      <c r="N59" s="26">
        <f t="shared" si="6"/>
        <v>500000</v>
      </c>
      <c r="O59" s="26">
        <f t="shared" si="7"/>
        <v>5471964.0699999994</v>
      </c>
      <c r="P59" s="28">
        <f t="shared" si="8"/>
        <v>455990</v>
      </c>
      <c r="Q59" s="28">
        <f>TRUNC(P59*요율기준!$B$12,-1)</f>
        <v>45590</v>
      </c>
      <c r="R59" s="28">
        <f t="shared" si="9"/>
        <v>501580</v>
      </c>
    </row>
    <row r="60" spans="1:18" x14ac:dyDescent="0.4">
      <c r="A60" s="30">
        <f>급여대장!A60</f>
        <v>46235</v>
      </c>
      <c r="B60" s="17">
        <v>5</v>
      </c>
      <c r="C60" s="25" t="str">
        <f>급여대장!D60</f>
        <v>마루한</v>
      </c>
      <c r="D60" s="31">
        <f>직원정보!I9</f>
        <v>1</v>
      </c>
      <c r="E60" s="29">
        <f>급여대장!V60</f>
        <v>5440906</v>
      </c>
      <c r="F60" s="26">
        <f t="shared" si="0"/>
        <v>65290872</v>
      </c>
      <c r="G60" s="26">
        <f t="shared" si="1"/>
        <v>13014543.6</v>
      </c>
      <c r="H60" s="26">
        <f t="shared" si="2"/>
        <v>52276328.399999999</v>
      </c>
      <c r="I60" s="26">
        <f>D60*요율기준!$B$13</f>
        <v>1500000</v>
      </c>
      <c r="J60" s="29">
        <f>'4대보험'!F60*12</f>
        <v>2938080</v>
      </c>
      <c r="K60" s="26">
        <f t="shared" si="3"/>
        <v>5711634.8799999999</v>
      </c>
      <c r="L60" s="26">
        <f t="shared" si="4"/>
        <v>42126613.519999996</v>
      </c>
      <c r="M60" s="26">
        <f t="shared" si="5"/>
        <v>5058992.027999999</v>
      </c>
      <c r="N60" s="26">
        <f t="shared" si="6"/>
        <v>660000</v>
      </c>
      <c r="O60" s="26">
        <f t="shared" si="7"/>
        <v>4398992.027999999</v>
      </c>
      <c r="P60" s="28">
        <f t="shared" si="8"/>
        <v>366580</v>
      </c>
      <c r="Q60" s="28">
        <f>TRUNC(P60*요율기준!$B$12,-1)</f>
        <v>36650</v>
      </c>
      <c r="R60" s="28">
        <f t="shared" si="9"/>
        <v>403230</v>
      </c>
    </row>
    <row r="61" spans="1:18" x14ac:dyDescent="0.4">
      <c r="A61" s="30">
        <f>급여대장!A61</f>
        <v>46266</v>
      </c>
      <c r="B61" s="17">
        <v>5</v>
      </c>
      <c r="C61" s="25" t="str">
        <f>급여대장!D61</f>
        <v>마루한</v>
      </c>
      <c r="D61" s="31">
        <f>직원정보!I9</f>
        <v>1</v>
      </c>
      <c r="E61" s="29">
        <f>급여대장!V61</f>
        <v>5626072</v>
      </c>
      <c r="F61" s="26">
        <f t="shared" si="0"/>
        <v>67512864</v>
      </c>
      <c r="G61" s="26">
        <f t="shared" si="1"/>
        <v>13125643.199999999</v>
      </c>
      <c r="H61" s="26">
        <f t="shared" si="2"/>
        <v>54387220.799999997</v>
      </c>
      <c r="I61" s="26">
        <f>D61*요율기준!$B$13</f>
        <v>1500000</v>
      </c>
      <c r="J61" s="29">
        <f>'4대보험'!F61*12</f>
        <v>3038040</v>
      </c>
      <c r="K61" s="26">
        <f t="shared" si="3"/>
        <v>5800514.5600000005</v>
      </c>
      <c r="L61" s="26">
        <f t="shared" si="4"/>
        <v>44048666.239999995</v>
      </c>
      <c r="M61" s="26">
        <f t="shared" si="5"/>
        <v>5347299.9359999988</v>
      </c>
      <c r="N61" s="26">
        <f t="shared" si="6"/>
        <v>660000</v>
      </c>
      <c r="O61" s="26">
        <f t="shared" si="7"/>
        <v>4687299.9359999988</v>
      </c>
      <c r="P61" s="28">
        <f t="shared" si="8"/>
        <v>390600</v>
      </c>
      <c r="Q61" s="28">
        <f>TRUNC(P61*요율기준!$B$12,-1)</f>
        <v>39060</v>
      </c>
      <c r="R61" s="28">
        <f t="shared" si="9"/>
        <v>429660</v>
      </c>
    </row>
    <row r="62" spans="1:18" x14ac:dyDescent="0.4">
      <c r="A62" s="30">
        <f>급여대장!A62</f>
        <v>46296</v>
      </c>
      <c r="B62" s="17">
        <v>5</v>
      </c>
      <c r="C62" s="25" t="str">
        <f>급여대장!D62</f>
        <v>마루한</v>
      </c>
      <c r="D62" s="31">
        <f>직원정보!I9</f>
        <v>1</v>
      </c>
      <c r="E62" s="29">
        <f>급여대장!V62</f>
        <v>5687794</v>
      </c>
      <c r="F62" s="26">
        <f t="shared" si="0"/>
        <v>68253528</v>
      </c>
      <c r="G62" s="26">
        <f t="shared" si="1"/>
        <v>13162676.4</v>
      </c>
      <c r="H62" s="26">
        <f t="shared" si="2"/>
        <v>55090851.600000001</v>
      </c>
      <c r="I62" s="26">
        <f>D62*요율기준!$B$13</f>
        <v>1500000</v>
      </c>
      <c r="J62" s="29">
        <f>'4대보험'!F62*12</f>
        <v>3071400</v>
      </c>
      <c r="K62" s="26">
        <f t="shared" si="3"/>
        <v>5830141.1200000001</v>
      </c>
      <c r="L62" s="26">
        <f t="shared" si="4"/>
        <v>44689310.480000004</v>
      </c>
      <c r="M62" s="26">
        <f t="shared" si="5"/>
        <v>5443396.5720000006</v>
      </c>
      <c r="N62" s="26">
        <f t="shared" si="6"/>
        <v>660000</v>
      </c>
      <c r="O62" s="26">
        <f t="shared" si="7"/>
        <v>4783396.5720000006</v>
      </c>
      <c r="P62" s="28">
        <f t="shared" si="8"/>
        <v>398610</v>
      </c>
      <c r="Q62" s="28">
        <f>TRUNC(P62*요율기준!$B$12,-1)</f>
        <v>39860</v>
      </c>
      <c r="R62" s="28">
        <f t="shared" si="9"/>
        <v>438470</v>
      </c>
    </row>
    <row r="63" spans="1:18" x14ac:dyDescent="0.4">
      <c r="A63" s="30">
        <f>급여대장!A63</f>
        <v>46327</v>
      </c>
      <c r="B63" s="17">
        <v>5</v>
      </c>
      <c r="C63" s="25" t="str">
        <f>급여대장!D63</f>
        <v>마루한</v>
      </c>
      <c r="D63" s="31">
        <f>직원정보!I9</f>
        <v>1</v>
      </c>
      <c r="E63" s="29">
        <f>급여대장!V63</f>
        <v>5872960</v>
      </c>
      <c r="F63" s="26">
        <f t="shared" si="0"/>
        <v>70475520</v>
      </c>
      <c r="G63" s="26">
        <f t="shared" si="1"/>
        <v>13273776</v>
      </c>
      <c r="H63" s="26">
        <f t="shared" si="2"/>
        <v>57201744</v>
      </c>
      <c r="I63" s="26">
        <f>D63*요율기준!$B$13</f>
        <v>1500000</v>
      </c>
      <c r="J63" s="29">
        <f>'4대보험'!F63*12</f>
        <v>3171360</v>
      </c>
      <c r="K63" s="26">
        <f t="shared" si="3"/>
        <v>5919020.8000000007</v>
      </c>
      <c r="L63" s="26">
        <f t="shared" si="4"/>
        <v>46611363.200000003</v>
      </c>
      <c r="M63" s="26">
        <f t="shared" si="5"/>
        <v>5731704.4800000004</v>
      </c>
      <c r="N63" s="26">
        <f t="shared" si="6"/>
        <v>500000</v>
      </c>
      <c r="O63" s="26">
        <f t="shared" si="7"/>
        <v>5231704.4800000004</v>
      </c>
      <c r="P63" s="28">
        <f t="shared" si="8"/>
        <v>435970</v>
      </c>
      <c r="Q63" s="28">
        <f>TRUNC(P63*요율기준!$B$12,-1)</f>
        <v>43590</v>
      </c>
      <c r="R63" s="28">
        <f t="shared" si="9"/>
        <v>479560</v>
      </c>
    </row>
    <row r="64" spans="1:18" x14ac:dyDescent="0.4">
      <c r="A64" s="30">
        <f>급여대장!A64</f>
        <v>46357</v>
      </c>
      <c r="B64" s="17">
        <v>5</v>
      </c>
      <c r="C64" s="25" t="str">
        <f>급여대장!D64</f>
        <v>마루한</v>
      </c>
      <c r="D64" s="31">
        <f>직원정보!I9</f>
        <v>1</v>
      </c>
      <c r="E64" s="29">
        <f>급여대장!V64</f>
        <v>6058126</v>
      </c>
      <c r="F64" s="26">
        <f t="shared" si="0"/>
        <v>72697512</v>
      </c>
      <c r="G64" s="26">
        <f t="shared" si="1"/>
        <v>13384875.6</v>
      </c>
      <c r="H64" s="26">
        <f t="shared" si="2"/>
        <v>59312636.399999999</v>
      </c>
      <c r="I64" s="26">
        <f>D64*요율기준!$B$13</f>
        <v>1500000</v>
      </c>
      <c r="J64" s="29">
        <f>'4대보험'!F64*12</f>
        <v>3271320</v>
      </c>
      <c r="K64" s="26">
        <f t="shared" si="3"/>
        <v>6007900.4800000004</v>
      </c>
      <c r="L64" s="26">
        <f t="shared" si="4"/>
        <v>48533415.920000002</v>
      </c>
      <c r="M64" s="26">
        <f t="shared" si="5"/>
        <v>6020012.3880000003</v>
      </c>
      <c r="N64" s="26">
        <f t="shared" si="6"/>
        <v>500000</v>
      </c>
      <c r="O64" s="26">
        <f t="shared" si="7"/>
        <v>5520012.3880000003</v>
      </c>
      <c r="P64" s="28">
        <f t="shared" si="8"/>
        <v>460000</v>
      </c>
      <c r="Q64" s="28">
        <f>TRUNC(P64*요율기준!$B$12,-1)</f>
        <v>46000</v>
      </c>
      <c r="R64" s="28">
        <f t="shared" si="9"/>
        <v>506000</v>
      </c>
    </row>
    <row r="65" spans="1:18" x14ac:dyDescent="0.4">
      <c r="A65" s="30">
        <f>급여대장!A65</f>
        <v>46023</v>
      </c>
      <c r="B65" s="17">
        <v>6</v>
      </c>
      <c r="C65" s="25" t="str">
        <f>급여대장!D65</f>
        <v>바다별</v>
      </c>
      <c r="D65" s="31">
        <f>직원정보!I10</f>
        <v>1</v>
      </c>
      <c r="E65" s="29">
        <f>급여대장!V65</f>
        <v>5924395</v>
      </c>
      <c r="F65" s="26">
        <f t="shared" si="0"/>
        <v>71092740</v>
      </c>
      <c r="G65" s="26">
        <f t="shared" si="1"/>
        <v>13304637</v>
      </c>
      <c r="H65" s="26">
        <f t="shared" si="2"/>
        <v>57788103</v>
      </c>
      <c r="I65" s="26">
        <f>D65*요율기준!$B$13</f>
        <v>1500000</v>
      </c>
      <c r="J65" s="29">
        <f>'4대보험'!F65*12</f>
        <v>3199080</v>
      </c>
      <c r="K65" s="26">
        <f t="shared" si="3"/>
        <v>5943709.5999999996</v>
      </c>
      <c r="L65" s="26">
        <f t="shared" si="4"/>
        <v>47145313.399999999</v>
      </c>
      <c r="M65" s="26">
        <f t="shared" si="5"/>
        <v>5811797.0099999998</v>
      </c>
      <c r="N65" s="26">
        <f t="shared" si="6"/>
        <v>500000</v>
      </c>
      <c r="O65" s="26">
        <f t="shared" si="7"/>
        <v>5311797.01</v>
      </c>
      <c r="P65" s="28">
        <f t="shared" si="8"/>
        <v>442640</v>
      </c>
      <c r="Q65" s="28">
        <f>TRUNC(P65*요율기준!$B$12,-1)</f>
        <v>44260</v>
      </c>
      <c r="R65" s="28">
        <f t="shared" si="9"/>
        <v>486900</v>
      </c>
    </row>
    <row r="66" spans="1:18" x14ac:dyDescent="0.4">
      <c r="A66" s="30">
        <f>급여대장!A66</f>
        <v>46054</v>
      </c>
      <c r="B66" s="17">
        <v>6</v>
      </c>
      <c r="C66" s="25" t="str">
        <f>급여대장!D66</f>
        <v>바다별</v>
      </c>
      <c r="D66" s="31">
        <f>직원정보!I10</f>
        <v>1</v>
      </c>
      <c r="E66" s="29">
        <f>급여대장!V66</f>
        <v>5338036</v>
      </c>
      <c r="F66" s="26">
        <f t="shared" si="0"/>
        <v>64056432</v>
      </c>
      <c r="G66" s="26">
        <f t="shared" si="1"/>
        <v>12952821.6</v>
      </c>
      <c r="H66" s="26">
        <f t="shared" si="2"/>
        <v>51103610.399999999</v>
      </c>
      <c r="I66" s="26">
        <f>D66*요율기준!$B$13</f>
        <v>1500000</v>
      </c>
      <c r="J66" s="29">
        <f>'4대보험'!F66*12</f>
        <v>2882520</v>
      </c>
      <c r="K66" s="26">
        <f t="shared" si="3"/>
        <v>5662257.2800000003</v>
      </c>
      <c r="L66" s="26">
        <f t="shared" si="4"/>
        <v>41058833.119999997</v>
      </c>
      <c r="M66" s="26">
        <f t="shared" si="5"/>
        <v>4898824.9679999994</v>
      </c>
      <c r="N66" s="26">
        <f t="shared" si="6"/>
        <v>660000</v>
      </c>
      <c r="O66" s="26">
        <f t="shared" si="7"/>
        <v>4238824.9679999994</v>
      </c>
      <c r="P66" s="28">
        <f t="shared" si="8"/>
        <v>353230</v>
      </c>
      <c r="Q66" s="28">
        <f>TRUNC(P66*요율기준!$B$12,-1)</f>
        <v>35320</v>
      </c>
      <c r="R66" s="28">
        <f t="shared" si="9"/>
        <v>388550</v>
      </c>
    </row>
    <row r="67" spans="1:18" x14ac:dyDescent="0.4">
      <c r="A67" s="30">
        <f>급여대장!A67</f>
        <v>46082</v>
      </c>
      <c r="B67" s="17">
        <v>6</v>
      </c>
      <c r="C67" s="25" t="str">
        <f>급여대장!D67</f>
        <v>바다별</v>
      </c>
      <c r="D67" s="31">
        <f>직원정보!I10</f>
        <v>1</v>
      </c>
      <c r="E67" s="29">
        <f>급여대장!V67</f>
        <v>5523202</v>
      </c>
      <c r="F67" s="26">
        <f t="shared" si="0"/>
        <v>66278424</v>
      </c>
      <c r="G67" s="26">
        <f t="shared" si="1"/>
        <v>13063921.199999999</v>
      </c>
      <c r="H67" s="26">
        <f t="shared" si="2"/>
        <v>53214502.799999997</v>
      </c>
      <c r="I67" s="26">
        <f>D67*요율기준!$B$13</f>
        <v>1500000</v>
      </c>
      <c r="J67" s="29">
        <f>'4대보험'!F67*12</f>
        <v>2982480</v>
      </c>
      <c r="K67" s="26">
        <f t="shared" si="3"/>
        <v>5751136.96</v>
      </c>
      <c r="L67" s="26">
        <f t="shared" si="4"/>
        <v>42980885.839999996</v>
      </c>
      <c r="M67" s="26">
        <f t="shared" si="5"/>
        <v>5187132.8759999992</v>
      </c>
      <c r="N67" s="26">
        <f t="shared" si="6"/>
        <v>660000</v>
      </c>
      <c r="O67" s="26">
        <f t="shared" si="7"/>
        <v>4527132.8759999992</v>
      </c>
      <c r="P67" s="28">
        <f t="shared" si="8"/>
        <v>377260</v>
      </c>
      <c r="Q67" s="28">
        <f>TRUNC(P67*요율기준!$B$12,-1)</f>
        <v>37720</v>
      </c>
      <c r="R67" s="28">
        <f t="shared" si="9"/>
        <v>414980</v>
      </c>
    </row>
    <row r="68" spans="1:18" x14ac:dyDescent="0.4">
      <c r="A68" s="30">
        <f>급여대장!A68</f>
        <v>46113</v>
      </c>
      <c r="B68" s="17">
        <v>6</v>
      </c>
      <c r="C68" s="25" t="str">
        <f>급여대장!D68</f>
        <v>바다별</v>
      </c>
      <c r="D68" s="31">
        <f>직원정보!I10</f>
        <v>1</v>
      </c>
      <c r="E68" s="29">
        <f>급여대장!V68</f>
        <v>5708368</v>
      </c>
      <c r="F68" s="26">
        <f t="shared" si="0"/>
        <v>68500416</v>
      </c>
      <c r="G68" s="26">
        <f t="shared" si="1"/>
        <v>13175020.800000001</v>
      </c>
      <c r="H68" s="26">
        <f t="shared" si="2"/>
        <v>55325395.200000003</v>
      </c>
      <c r="I68" s="26">
        <f>D68*요율기준!$B$13</f>
        <v>1500000</v>
      </c>
      <c r="J68" s="29">
        <f>'4대보험'!F68*12</f>
        <v>3082440</v>
      </c>
      <c r="K68" s="26">
        <f t="shared" si="3"/>
        <v>5840016.6400000006</v>
      </c>
      <c r="L68" s="26">
        <f t="shared" si="4"/>
        <v>44902938.560000002</v>
      </c>
      <c r="M68" s="26">
        <f t="shared" si="5"/>
        <v>5475440.784</v>
      </c>
      <c r="N68" s="26">
        <f t="shared" si="6"/>
        <v>660000</v>
      </c>
      <c r="O68" s="26">
        <f t="shared" si="7"/>
        <v>4815440.784</v>
      </c>
      <c r="P68" s="28">
        <f t="shared" si="8"/>
        <v>401280</v>
      </c>
      <c r="Q68" s="28">
        <f>TRUNC(P68*요율기준!$B$12,-1)</f>
        <v>40120</v>
      </c>
      <c r="R68" s="28">
        <f t="shared" si="9"/>
        <v>441400</v>
      </c>
    </row>
    <row r="69" spans="1:18" x14ac:dyDescent="0.4">
      <c r="A69" s="30">
        <f>급여대장!A69</f>
        <v>46143</v>
      </c>
      <c r="B69" s="17">
        <v>6</v>
      </c>
      <c r="C69" s="25" t="str">
        <f>급여대장!D69</f>
        <v>바다별</v>
      </c>
      <c r="D69" s="31">
        <f>직원정보!I10</f>
        <v>1</v>
      </c>
      <c r="E69" s="29">
        <f>급여대장!V69</f>
        <v>5770090</v>
      </c>
      <c r="F69" s="26">
        <f t="shared" ref="F69:F132" si="10">E69*12</f>
        <v>69241080</v>
      </c>
      <c r="G69" s="26">
        <f t="shared" ref="G69:G132" si="11">MIN(20000000,IF(F69&lt;=5000000,F69*0.7,IF(F69&lt;=15000000,3500000+(F69-5000000)*0.4,IF(F69&lt;=45000000,7500000+(F69-15000000)*0.15,IF(F69&lt;=100000000,12000000+(F69-45000000)*0.05,14750000+(F69-100000000)*0.02)))))</f>
        <v>13212054</v>
      </c>
      <c r="H69" s="26">
        <f t="shared" ref="H69:H132" si="12">F69-G69</f>
        <v>56029026</v>
      </c>
      <c r="I69" s="26">
        <f>D69*요율기준!$B$13</f>
        <v>1500000</v>
      </c>
      <c r="J69" s="29">
        <f>'4대보험'!F69*12</f>
        <v>3115800</v>
      </c>
      <c r="K69" s="26">
        <f t="shared" ref="K69:K132" si="13">IF(D69=1,3100000+F69*0.04,IF(D69=2,3600000+F69*0.04,5000000+F69*0.07))</f>
        <v>5869643.2000000002</v>
      </c>
      <c r="L69" s="26">
        <f t="shared" ref="L69:L132" si="14">MAX(0,H69-I69-J69-K69)</f>
        <v>45543582.799999997</v>
      </c>
      <c r="M69" s="26">
        <f t="shared" ref="M69:M132" si="15">IF(L69&lt;=14000000,L69*0.06,IF(L69&lt;=50000000,840000+(L69-14000000)*0.15,IF(L69&lt;=88000000,6240000+(L69-50000000)*0.24,IF(L69&lt;=150000000,15360000+(L69-88000000)*0.35,IF(L69&lt;=300000000,37060000+(L69-150000000)*0.38,IF(L69&lt;=500000000,94060000+(L69-300000000)*0.4,IF(L69&lt;=1000000000,174060000+(L69-500000000)*0.42,384060000+(L69-1000000000)*0.45)))))))</f>
        <v>5571537.419999999</v>
      </c>
      <c r="N69" s="26">
        <f t="shared" ref="N69:N132" si="16">MIN(IF(M69&lt;=1300000,M69*0.55,715000+(M69-1300000)*0.3),IF(F69&lt;=33000000,740000,IF(F69&lt;=70000000,MAX(660000,740000-(F69-33000000)*0.008),MAX(500000,660000-(F69-70000000)*0.5))))</f>
        <v>660000</v>
      </c>
      <c r="O69" s="26">
        <f t="shared" ref="O69:O132" si="17">MAX(0,M69-N69)</f>
        <v>4911537.419999999</v>
      </c>
      <c r="P69" s="28">
        <f t="shared" ref="P69:P132" si="18">TRUNC(O69/12,-1)</f>
        <v>409290</v>
      </c>
      <c r="Q69" s="28">
        <f>TRUNC(P69*요율기준!$B$12,-1)</f>
        <v>40920</v>
      </c>
      <c r="R69" s="28">
        <f t="shared" ref="R69:R132" si="19">P69+Q69</f>
        <v>450210</v>
      </c>
    </row>
    <row r="70" spans="1:18" x14ac:dyDescent="0.4">
      <c r="A70" s="30">
        <f>급여대장!A70</f>
        <v>46174</v>
      </c>
      <c r="B70" s="17">
        <v>6</v>
      </c>
      <c r="C70" s="25" t="str">
        <f>급여대장!D70</f>
        <v>바다별</v>
      </c>
      <c r="D70" s="31">
        <f>직원정보!I10</f>
        <v>1</v>
      </c>
      <c r="E70" s="29">
        <f>급여대장!V70</f>
        <v>5955256</v>
      </c>
      <c r="F70" s="26">
        <f t="shared" si="10"/>
        <v>71463072</v>
      </c>
      <c r="G70" s="26">
        <f t="shared" si="11"/>
        <v>13323153.6</v>
      </c>
      <c r="H70" s="26">
        <f t="shared" si="12"/>
        <v>58139918.399999999</v>
      </c>
      <c r="I70" s="26">
        <f>D70*요율기준!$B$13</f>
        <v>1500000</v>
      </c>
      <c r="J70" s="29">
        <f>'4대보험'!F70*12</f>
        <v>3215760</v>
      </c>
      <c r="K70" s="26">
        <f t="shared" si="13"/>
        <v>5958522.8799999999</v>
      </c>
      <c r="L70" s="26">
        <f t="shared" si="14"/>
        <v>47465635.519999996</v>
      </c>
      <c r="M70" s="26">
        <f t="shared" si="15"/>
        <v>5859845.3279999988</v>
      </c>
      <c r="N70" s="26">
        <f t="shared" si="16"/>
        <v>500000</v>
      </c>
      <c r="O70" s="26">
        <f t="shared" si="17"/>
        <v>5359845.3279999988</v>
      </c>
      <c r="P70" s="28">
        <f t="shared" si="18"/>
        <v>446650</v>
      </c>
      <c r="Q70" s="28">
        <f>TRUNC(P70*요율기준!$B$12,-1)</f>
        <v>44660</v>
      </c>
      <c r="R70" s="28">
        <f t="shared" si="19"/>
        <v>491310</v>
      </c>
    </row>
    <row r="71" spans="1:18" x14ac:dyDescent="0.4">
      <c r="A71" s="30">
        <f>급여대장!A71</f>
        <v>46204</v>
      </c>
      <c r="B71" s="17">
        <v>6</v>
      </c>
      <c r="C71" s="25" t="str">
        <f>급여대장!D71</f>
        <v>바다별</v>
      </c>
      <c r="D71" s="31">
        <f>직원정보!I10</f>
        <v>1</v>
      </c>
      <c r="E71" s="29">
        <f>급여대장!V71</f>
        <v>5368897</v>
      </c>
      <c r="F71" s="26">
        <f t="shared" si="10"/>
        <v>64426764</v>
      </c>
      <c r="G71" s="26">
        <f t="shared" si="11"/>
        <v>12971338.199999999</v>
      </c>
      <c r="H71" s="26">
        <f t="shared" si="12"/>
        <v>51455425.799999997</v>
      </c>
      <c r="I71" s="26">
        <f>D71*요율기준!$B$13</f>
        <v>1500000</v>
      </c>
      <c r="J71" s="29">
        <f>'4대보험'!F71*12</f>
        <v>2899200</v>
      </c>
      <c r="K71" s="26">
        <f t="shared" si="13"/>
        <v>5677070.5600000005</v>
      </c>
      <c r="L71" s="26">
        <f t="shared" si="14"/>
        <v>41379155.239999995</v>
      </c>
      <c r="M71" s="26">
        <f t="shared" si="15"/>
        <v>4946873.2859999985</v>
      </c>
      <c r="N71" s="26">
        <f t="shared" si="16"/>
        <v>660000</v>
      </c>
      <c r="O71" s="26">
        <f t="shared" si="17"/>
        <v>4286873.2859999985</v>
      </c>
      <c r="P71" s="28">
        <f t="shared" si="18"/>
        <v>357230</v>
      </c>
      <c r="Q71" s="28">
        <f>TRUNC(P71*요율기준!$B$12,-1)</f>
        <v>35720</v>
      </c>
      <c r="R71" s="28">
        <f t="shared" si="19"/>
        <v>392950</v>
      </c>
    </row>
    <row r="72" spans="1:18" x14ac:dyDescent="0.4">
      <c r="A72" s="30">
        <f>급여대장!A72</f>
        <v>46235</v>
      </c>
      <c r="B72" s="17">
        <v>6</v>
      </c>
      <c r="C72" s="25" t="str">
        <f>급여대장!D72</f>
        <v>바다별</v>
      </c>
      <c r="D72" s="31">
        <f>직원정보!I10</f>
        <v>1</v>
      </c>
      <c r="E72" s="29">
        <f>급여대장!V72</f>
        <v>5554063</v>
      </c>
      <c r="F72" s="26">
        <f t="shared" si="10"/>
        <v>66648756</v>
      </c>
      <c r="G72" s="26">
        <f t="shared" si="11"/>
        <v>13082437.800000001</v>
      </c>
      <c r="H72" s="26">
        <f t="shared" si="12"/>
        <v>53566318.200000003</v>
      </c>
      <c r="I72" s="26">
        <f>D72*요율기준!$B$13</f>
        <v>1500000</v>
      </c>
      <c r="J72" s="29">
        <f>'4대보험'!F72*12</f>
        <v>2999160</v>
      </c>
      <c r="K72" s="26">
        <f t="shared" si="13"/>
        <v>5765950.2400000002</v>
      </c>
      <c r="L72" s="26">
        <f t="shared" si="14"/>
        <v>43301207.960000001</v>
      </c>
      <c r="M72" s="26">
        <f t="shared" si="15"/>
        <v>5235181.1940000001</v>
      </c>
      <c r="N72" s="26">
        <f t="shared" si="16"/>
        <v>660000</v>
      </c>
      <c r="O72" s="26">
        <f t="shared" si="17"/>
        <v>4575181.1940000001</v>
      </c>
      <c r="P72" s="28">
        <f t="shared" si="18"/>
        <v>381260</v>
      </c>
      <c r="Q72" s="28">
        <f>TRUNC(P72*요율기준!$B$12,-1)</f>
        <v>38120</v>
      </c>
      <c r="R72" s="28">
        <f t="shared" si="19"/>
        <v>419380</v>
      </c>
    </row>
    <row r="73" spans="1:18" x14ac:dyDescent="0.4">
      <c r="A73" s="30">
        <f>급여대장!A73</f>
        <v>46266</v>
      </c>
      <c r="B73" s="17">
        <v>6</v>
      </c>
      <c r="C73" s="25" t="str">
        <f>급여대장!D73</f>
        <v>바다별</v>
      </c>
      <c r="D73" s="31">
        <f>직원정보!I10</f>
        <v>1</v>
      </c>
      <c r="E73" s="29">
        <f>급여대장!V73</f>
        <v>5615785</v>
      </c>
      <c r="F73" s="26">
        <f t="shared" si="10"/>
        <v>67389420</v>
      </c>
      <c r="G73" s="26">
        <f t="shared" si="11"/>
        <v>13119471</v>
      </c>
      <c r="H73" s="26">
        <f t="shared" si="12"/>
        <v>54269949</v>
      </c>
      <c r="I73" s="26">
        <f>D73*요율기준!$B$13</f>
        <v>1500000</v>
      </c>
      <c r="J73" s="29">
        <f>'4대보험'!F73*12</f>
        <v>3032520</v>
      </c>
      <c r="K73" s="26">
        <f t="shared" si="13"/>
        <v>5795576.8000000007</v>
      </c>
      <c r="L73" s="26">
        <f t="shared" si="14"/>
        <v>43941852.200000003</v>
      </c>
      <c r="M73" s="26">
        <f t="shared" si="15"/>
        <v>5331277.83</v>
      </c>
      <c r="N73" s="26">
        <f t="shared" si="16"/>
        <v>660000</v>
      </c>
      <c r="O73" s="26">
        <f t="shared" si="17"/>
        <v>4671277.83</v>
      </c>
      <c r="P73" s="28">
        <f t="shared" si="18"/>
        <v>389270</v>
      </c>
      <c r="Q73" s="28">
        <f>TRUNC(P73*요율기준!$B$12,-1)</f>
        <v>38920</v>
      </c>
      <c r="R73" s="28">
        <f t="shared" si="19"/>
        <v>428190</v>
      </c>
    </row>
    <row r="74" spans="1:18" x14ac:dyDescent="0.4">
      <c r="A74" s="30">
        <f>급여대장!A74</f>
        <v>46296</v>
      </c>
      <c r="B74" s="17">
        <v>6</v>
      </c>
      <c r="C74" s="25" t="str">
        <f>급여대장!D74</f>
        <v>바다별</v>
      </c>
      <c r="D74" s="31">
        <f>직원정보!I10</f>
        <v>1</v>
      </c>
      <c r="E74" s="29">
        <f>급여대장!V74</f>
        <v>5800951</v>
      </c>
      <c r="F74" s="26">
        <f t="shared" si="10"/>
        <v>69611412</v>
      </c>
      <c r="G74" s="26">
        <f t="shared" si="11"/>
        <v>13230570.6</v>
      </c>
      <c r="H74" s="26">
        <f t="shared" si="12"/>
        <v>56380841.399999999</v>
      </c>
      <c r="I74" s="26">
        <f>D74*요율기준!$B$13</f>
        <v>1500000</v>
      </c>
      <c r="J74" s="29">
        <f>'4대보험'!F74*12</f>
        <v>3132480</v>
      </c>
      <c r="K74" s="26">
        <f t="shared" si="13"/>
        <v>5884456.4800000004</v>
      </c>
      <c r="L74" s="26">
        <f t="shared" si="14"/>
        <v>45863904.920000002</v>
      </c>
      <c r="M74" s="26">
        <f t="shared" si="15"/>
        <v>5619585.7379999999</v>
      </c>
      <c r="N74" s="26">
        <f t="shared" si="16"/>
        <v>660000</v>
      </c>
      <c r="O74" s="26">
        <f t="shared" si="17"/>
        <v>4959585.7379999999</v>
      </c>
      <c r="P74" s="28">
        <f t="shared" si="18"/>
        <v>413290</v>
      </c>
      <c r="Q74" s="28">
        <f>TRUNC(P74*요율기준!$B$12,-1)</f>
        <v>41320</v>
      </c>
      <c r="R74" s="28">
        <f t="shared" si="19"/>
        <v>454610</v>
      </c>
    </row>
    <row r="75" spans="1:18" x14ac:dyDescent="0.4">
      <c r="A75" s="30">
        <f>급여대장!A75</f>
        <v>46327</v>
      </c>
      <c r="B75" s="17">
        <v>6</v>
      </c>
      <c r="C75" s="25" t="str">
        <f>급여대장!D75</f>
        <v>바다별</v>
      </c>
      <c r="D75" s="31">
        <f>직원정보!I10</f>
        <v>1</v>
      </c>
      <c r="E75" s="29">
        <f>급여대장!V75</f>
        <v>5986117</v>
      </c>
      <c r="F75" s="26">
        <f t="shared" si="10"/>
        <v>71833404</v>
      </c>
      <c r="G75" s="26">
        <f t="shared" si="11"/>
        <v>13341670.199999999</v>
      </c>
      <c r="H75" s="26">
        <f t="shared" si="12"/>
        <v>58491733.799999997</v>
      </c>
      <c r="I75" s="26">
        <f>D75*요율기준!$B$13</f>
        <v>1500000</v>
      </c>
      <c r="J75" s="29">
        <f>'4대보험'!F75*12</f>
        <v>3232440</v>
      </c>
      <c r="K75" s="26">
        <f t="shared" si="13"/>
        <v>5973336.1600000001</v>
      </c>
      <c r="L75" s="26">
        <f t="shared" si="14"/>
        <v>47785957.640000001</v>
      </c>
      <c r="M75" s="26">
        <f t="shared" si="15"/>
        <v>5907893.6459999997</v>
      </c>
      <c r="N75" s="26">
        <f t="shared" si="16"/>
        <v>500000</v>
      </c>
      <c r="O75" s="26">
        <f t="shared" si="17"/>
        <v>5407893.6459999997</v>
      </c>
      <c r="P75" s="28">
        <f t="shared" si="18"/>
        <v>450650</v>
      </c>
      <c r="Q75" s="28">
        <f>TRUNC(P75*요율기준!$B$12,-1)</f>
        <v>45060</v>
      </c>
      <c r="R75" s="28">
        <f t="shared" si="19"/>
        <v>495710</v>
      </c>
    </row>
    <row r="76" spans="1:18" x14ac:dyDescent="0.4">
      <c r="A76" s="30">
        <f>급여대장!A76</f>
        <v>46357</v>
      </c>
      <c r="B76" s="17">
        <v>6</v>
      </c>
      <c r="C76" s="25" t="str">
        <f>급여대장!D76</f>
        <v>바다별</v>
      </c>
      <c r="D76" s="31">
        <f>직원정보!I10</f>
        <v>1</v>
      </c>
      <c r="E76" s="29">
        <f>급여대장!V76</f>
        <v>5399758</v>
      </c>
      <c r="F76" s="26">
        <f t="shared" si="10"/>
        <v>64797096</v>
      </c>
      <c r="G76" s="26">
        <f t="shared" si="11"/>
        <v>12989854.800000001</v>
      </c>
      <c r="H76" s="26">
        <f t="shared" si="12"/>
        <v>51807241.200000003</v>
      </c>
      <c r="I76" s="26">
        <f>D76*요율기준!$B$13</f>
        <v>1500000</v>
      </c>
      <c r="J76" s="29">
        <f>'4대보험'!F76*12</f>
        <v>2915760</v>
      </c>
      <c r="K76" s="26">
        <f t="shared" si="13"/>
        <v>5691883.8399999999</v>
      </c>
      <c r="L76" s="26">
        <f t="shared" si="14"/>
        <v>41699597.359999999</v>
      </c>
      <c r="M76" s="26">
        <f t="shared" si="15"/>
        <v>4994939.6040000003</v>
      </c>
      <c r="N76" s="26">
        <f t="shared" si="16"/>
        <v>660000</v>
      </c>
      <c r="O76" s="26">
        <f t="shared" si="17"/>
        <v>4334939.6040000003</v>
      </c>
      <c r="P76" s="28">
        <f t="shared" si="18"/>
        <v>361240</v>
      </c>
      <c r="Q76" s="28">
        <f>TRUNC(P76*요율기준!$B$12,-1)</f>
        <v>36120</v>
      </c>
      <c r="R76" s="28">
        <f t="shared" si="19"/>
        <v>397360</v>
      </c>
    </row>
    <row r="77" spans="1:18" x14ac:dyDescent="0.4">
      <c r="A77" s="30">
        <f>급여대장!A77</f>
        <v>46023</v>
      </c>
      <c r="B77" s="17">
        <v>7</v>
      </c>
      <c r="C77" s="25" t="str">
        <f>급여대장!D77</f>
        <v>사랑비</v>
      </c>
      <c r="D77" s="31">
        <f>직원정보!I11</f>
        <v>1</v>
      </c>
      <c r="E77" s="29">
        <f>급여대장!V77</f>
        <v>5365680</v>
      </c>
      <c r="F77" s="26">
        <f t="shared" si="10"/>
        <v>64388160</v>
      </c>
      <c r="G77" s="26">
        <f t="shared" si="11"/>
        <v>12969408</v>
      </c>
      <c r="H77" s="26">
        <f t="shared" si="12"/>
        <v>51418752</v>
      </c>
      <c r="I77" s="26">
        <f>D77*요율기준!$B$13</f>
        <v>1500000</v>
      </c>
      <c r="J77" s="29">
        <f>'4대보험'!F77*12</f>
        <v>2897400</v>
      </c>
      <c r="K77" s="26">
        <f t="shared" si="13"/>
        <v>5675526.4000000004</v>
      </c>
      <c r="L77" s="26">
        <f t="shared" si="14"/>
        <v>41345825.600000001</v>
      </c>
      <c r="M77" s="26">
        <f t="shared" si="15"/>
        <v>4941873.84</v>
      </c>
      <c r="N77" s="26">
        <f t="shared" si="16"/>
        <v>660000</v>
      </c>
      <c r="O77" s="26">
        <f t="shared" si="17"/>
        <v>4281873.84</v>
      </c>
      <c r="P77" s="28">
        <f t="shared" si="18"/>
        <v>356820</v>
      </c>
      <c r="Q77" s="28">
        <f>TRUNC(P77*요율기준!$B$12,-1)</f>
        <v>35680</v>
      </c>
      <c r="R77" s="28">
        <f t="shared" si="19"/>
        <v>392500</v>
      </c>
    </row>
    <row r="78" spans="1:18" x14ac:dyDescent="0.4">
      <c r="A78" s="30">
        <f>급여대장!A78</f>
        <v>46054</v>
      </c>
      <c r="B78" s="17">
        <v>7</v>
      </c>
      <c r="C78" s="25" t="str">
        <f>급여대장!D78</f>
        <v>사랑비</v>
      </c>
      <c r="D78" s="31">
        <f>직원정보!I11</f>
        <v>1</v>
      </c>
      <c r="E78" s="29">
        <f>급여대장!V78</f>
        <v>4833870</v>
      </c>
      <c r="F78" s="26">
        <f t="shared" si="10"/>
        <v>58006440</v>
      </c>
      <c r="G78" s="26">
        <f t="shared" si="11"/>
        <v>12650322</v>
      </c>
      <c r="H78" s="26">
        <f t="shared" si="12"/>
        <v>45356118</v>
      </c>
      <c r="I78" s="26">
        <f>D78*요율기준!$B$13</f>
        <v>1500000</v>
      </c>
      <c r="J78" s="29">
        <f>'4대보험'!F78*12</f>
        <v>2610240</v>
      </c>
      <c r="K78" s="26">
        <f t="shared" si="13"/>
        <v>5420257.5999999996</v>
      </c>
      <c r="L78" s="26">
        <f t="shared" si="14"/>
        <v>35825620.399999999</v>
      </c>
      <c r="M78" s="26">
        <f t="shared" si="15"/>
        <v>4113843.0599999996</v>
      </c>
      <c r="N78" s="26">
        <f t="shared" si="16"/>
        <v>660000</v>
      </c>
      <c r="O78" s="26">
        <f t="shared" si="17"/>
        <v>3453843.0599999996</v>
      </c>
      <c r="P78" s="28">
        <f t="shared" si="18"/>
        <v>287820</v>
      </c>
      <c r="Q78" s="28">
        <f>TRUNC(P78*요율기준!$B$12,-1)</f>
        <v>28780</v>
      </c>
      <c r="R78" s="28">
        <f t="shared" si="19"/>
        <v>316600</v>
      </c>
    </row>
    <row r="79" spans="1:18" x14ac:dyDescent="0.4">
      <c r="A79" s="30">
        <f>급여대장!A79</f>
        <v>46082</v>
      </c>
      <c r="B79" s="17">
        <v>7</v>
      </c>
      <c r="C79" s="25" t="str">
        <f>급여대장!D79</f>
        <v>사랑비</v>
      </c>
      <c r="D79" s="31">
        <f>직원정보!I11</f>
        <v>1</v>
      </c>
      <c r="E79" s="29">
        <f>급여대장!V79</f>
        <v>5001810</v>
      </c>
      <c r="F79" s="26">
        <f t="shared" si="10"/>
        <v>60021720</v>
      </c>
      <c r="G79" s="26">
        <f t="shared" si="11"/>
        <v>12751086</v>
      </c>
      <c r="H79" s="26">
        <f t="shared" si="12"/>
        <v>47270634</v>
      </c>
      <c r="I79" s="26">
        <f>D79*요율기준!$B$13</f>
        <v>1500000</v>
      </c>
      <c r="J79" s="29">
        <f>'4대보험'!F79*12</f>
        <v>2700960</v>
      </c>
      <c r="K79" s="26">
        <f t="shared" si="13"/>
        <v>5500868.8000000007</v>
      </c>
      <c r="L79" s="26">
        <f t="shared" si="14"/>
        <v>37568805.200000003</v>
      </c>
      <c r="M79" s="26">
        <f t="shared" si="15"/>
        <v>4375320.78</v>
      </c>
      <c r="N79" s="26">
        <f t="shared" si="16"/>
        <v>660000</v>
      </c>
      <c r="O79" s="26">
        <f t="shared" si="17"/>
        <v>3715320.7800000003</v>
      </c>
      <c r="P79" s="28">
        <f t="shared" si="18"/>
        <v>309610</v>
      </c>
      <c r="Q79" s="28">
        <f>TRUNC(P79*요율기준!$B$12,-1)</f>
        <v>30960</v>
      </c>
      <c r="R79" s="28">
        <f t="shared" si="19"/>
        <v>340570</v>
      </c>
    </row>
    <row r="80" spans="1:18" x14ac:dyDescent="0.4">
      <c r="A80" s="30">
        <f>급여대장!A80</f>
        <v>46113</v>
      </c>
      <c r="B80" s="17">
        <v>7</v>
      </c>
      <c r="C80" s="25" t="str">
        <f>급여대장!D80</f>
        <v>사랑비</v>
      </c>
      <c r="D80" s="31">
        <f>직원정보!I11</f>
        <v>1</v>
      </c>
      <c r="E80" s="29">
        <f>급여대장!V80</f>
        <v>5057790</v>
      </c>
      <c r="F80" s="26">
        <f t="shared" si="10"/>
        <v>60693480</v>
      </c>
      <c r="G80" s="26">
        <f t="shared" si="11"/>
        <v>12784674</v>
      </c>
      <c r="H80" s="26">
        <f t="shared" si="12"/>
        <v>47908806</v>
      </c>
      <c r="I80" s="26">
        <f>D80*요율기준!$B$13</f>
        <v>1500000</v>
      </c>
      <c r="J80" s="29">
        <f>'4대보험'!F80*12</f>
        <v>2731200</v>
      </c>
      <c r="K80" s="26">
        <f t="shared" si="13"/>
        <v>5527739.2000000002</v>
      </c>
      <c r="L80" s="26">
        <f t="shared" si="14"/>
        <v>38149866.799999997</v>
      </c>
      <c r="M80" s="26">
        <f t="shared" si="15"/>
        <v>4462480.0199999996</v>
      </c>
      <c r="N80" s="26">
        <f t="shared" si="16"/>
        <v>660000</v>
      </c>
      <c r="O80" s="26">
        <f t="shared" si="17"/>
        <v>3802480.0199999996</v>
      </c>
      <c r="P80" s="28">
        <f t="shared" si="18"/>
        <v>316870</v>
      </c>
      <c r="Q80" s="28">
        <f>TRUNC(P80*요율기준!$B$12,-1)</f>
        <v>31680</v>
      </c>
      <c r="R80" s="28">
        <f t="shared" si="19"/>
        <v>348550</v>
      </c>
    </row>
    <row r="81" spans="1:18" x14ac:dyDescent="0.4">
      <c r="A81" s="30">
        <f>급여대장!A81</f>
        <v>46143</v>
      </c>
      <c r="B81" s="17">
        <v>7</v>
      </c>
      <c r="C81" s="25" t="str">
        <f>급여대장!D81</f>
        <v>사랑비</v>
      </c>
      <c r="D81" s="31">
        <f>직원정보!I11</f>
        <v>1</v>
      </c>
      <c r="E81" s="29">
        <f>급여대장!V81</f>
        <v>5225730</v>
      </c>
      <c r="F81" s="26">
        <f t="shared" si="10"/>
        <v>62708760</v>
      </c>
      <c r="G81" s="26">
        <f t="shared" si="11"/>
        <v>12885438</v>
      </c>
      <c r="H81" s="26">
        <f t="shared" si="12"/>
        <v>49823322</v>
      </c>
      <c r="I81" s="26">
        <f>D81*요율기준!$B$13</f>
        <v>1500000</v>
      </c>
      <c r="J81" s="29">
        <f>'4대보험'!F81*12</f>
        <v>2821800</v>
      </c>
      <c r="K81" s="26">
        <f t="shared" si="13"/>
        <v>5608350.4000000004</v>
      </c>
      <c r="L81" s="26">
        <f t="shared" si="14"/>
        <v>39893171.600000001</v>
      </c>
      <c r="M81" s="26">
        <f t="shared" si="15"/>
        <v>4723975.74</v>
      </c>
      <c r="N81" s="26">
        <f t="shared" si="16"/>
        <v>660000</v>
      </c>
      <c r="O81" s="26">
        <f t="shared" si="17"/>
        <v>4063975.74</v>
      </c>
      <c r="P81" s="28">
        <f t="shared" si="18"/>
        <v>338660</v>
      </c>
      <c r="Q81" s="28">
        <f>TRUNC(P81*요율기준!$B$12,-1)</f>
        <v>33860</v>
      </c>
      <c r="R81" s="28">
        <f t="shared" si="19"/>
        <v>372520</v>
      </c>
    </row>
    <row r="82" spans="1:18" x14ac:dyDescent="0.4">
      <c r="A82" s="30">
        <f>급여대장!A82</f>
        <v>46174</v>
      </c>
      <c r="B82" s="17">
        <v>7</v>
      </c>
      <c r="C82" s="25" t="str">
        <f>급여대장!D82</f>
        <v>사랑비</v>
      </c>
      <c r="D82" s="31">
        <f>직원정보!I11</f>
        <v>1</v>
      </c>
      <c r="E82" s="29">
        <f>급여대장!V82</f>
        <v>5393670</v>
      </c>
      <c r="F82" s="26">
        <f t="shared" si="10"/>
        <v>64724040</v>
      </c>
      <c r="G82" s="26">
        <f t="shared" si="11"/>
        <v>12986202</v>
      </c>
      <c r="H82" s="26">
        <f t="shared" si="12"/>
        <v>51737838</v>
      </c>
      <c r="I82" s="26">
        <f>D82*요율기준!$B$13</f>
        <v>1500000</v>
      </c>
      <c r="J82" s="29">
        <f>'4대보험'!F82*12</f>
        <v>2912520</v>
      </c>
      <c r="K82" s="26">
        <f t="shared" si="13"/>
        <v>5688961.5999999996</v>
      </c>
      <c r="L82" s="26">
        <f t="shared" si="14"/>
        <v>41636356.399999999</v>
      </c>
      <c r="M82" s="26">
        <f t="shared" si="15"/>
        <v>4985453.459999999</v>
      </c>
      <c r="N82" s="26">
        <f t="shared" si="16"/>
        <v>660000</v>
      </c>
      <c r="O82" s="26">
        <f t="shared" si="17"/>
        <v>4325453.459999999</v>
      </c>
      <c r="P82" s="28">
        <f t="shared" si="18"/>
        <v>360450</v>
      </c>
      <c r="Q82" s="28">
        <f>TRUNC(P82*요율기준!$B$12,-1)</f>
        <v>36040</v>
      </c>
      <c r="R82" s="28">
        <f t="shared" si="19"/>
        <v>396490</v>
      </c>
    </row>
    <row r="83" spans="1:18" x14ac:dyDescent="0.4">
      <c r="A83" s="30">
        <f>급여대장!A83</f>
        <v>46204</v>
      </c>
      <c r="B83" s="17">
        <v>7</v>
      </c>
      <c r="C83" s="25" t="str">
        <f>급여대장!D83</f>
        <v>사랑비</v>
      </c>
      <c r="D83" s="31">
        <f>직원정보!I11</f>
        <v>1</v>
      </c>
      <c r="E83" s="29">
        <f>급여대장!V83</f>
        <v>4861860</v>
      </c>
      <c r="F83" s="26">
        <f t="shared" si="10"/>
        <v>58342320</v>
      </c>
      <c r="G83" s="26">
        <f t="shared" si="11"/>
        <v>12667116</v>
      </c>
      <c r="H83" s="26">
        <f t="shared" si="12"/>
        <v>45675204</v>
      </c>
      <c r="I83" s="26">
        <f>D83*요율기준!$B$13</f>
        <v>1500000</v>
      </c>
      <c r="J83" s="29">
        <f>'4대보험'!F83*12</f>
        <v>2625360</v>
      </c>
      <c r="K83" s="26">
        <f t="shared" si="13"/>
        <v>5433692.8000000007</v>
      </c>
      <c r="L83" s="26">
        <f t="shared" si="14"/>
        <v>36116151.200000003</v>
      </c>
      <c r="M83" s="26">
        <f t="shared" si="15"/>
        <v>4157422.68</v>
      </c>
      <c r="N83" s="26">
        <f t="shared" si="16"/>
        <v>660000</v>
      </c>
      <c r="O83" s="26">
        <f t="shared" si="17"/>
        <v>3497422.68</v>
      </c>
      <c r="P83" s="28">
        <f t="shared" si="18"/>
        <v>291450</v>
      </c>
      <c r="Q83" s="28">
        <f>TRUNC(P83*요율기준!$B$12,-1)</f>
        <v>29140</v>
      </c>
      <c r="R83" s="28">
        <f t="shared" si="19"/>
        <v>320590</v>
      </c>
    </row>
    <row r="84" spans="1:18" x14ac:dyDescent="0.4">
      <c r="A84" s="30">
        <f>급여대장!A84</f>
        <v>46235</v>
      </c>
      <c r="B84" s="17">
        <v>7</v>
      </c>
      <c r="C84" s="25" t="str">
        <f>급여대장!D84</f>
        <v>사랑비</v>
      </c>
      <c r="D84" s="31">
        <f>직원정보!I11</f>
        <v>1</v>
      </c>
      <c r="E84" s="29">
        <f>급여대장!V84</f>
        <v>4917840</v>
      </c>
      <c r="F84" s="26">
        <f t="shared" si="10"/>
        <v>59014080</v>
      </c>
      <c r="G84" s="26">
        <f t="shared" si="11"/>
        <v>12700704</v>
      </c>
      <c r="H84" s="26">
        <f t="shared" si="12"/>
        <v>46313376</v>
      </c>
      <c r="I84" s="26">
        <f>D84*요율기준!$B$13</f>
        <v>1500000</v>
      </c>
      <c r="J84" s="29">
        <f>'4대보험'!F84*12</f>
        <v>2655600</v>
      </c>
      <c r="K84" s="26">
        <f t="shared" si="13"/>
        <v>5460563.2000000002</v>
      </c>
      <c r="L84" s="26">
        <f t="shared" si="14"/>
        <v>36697212.799999997</v>
      </c>
      <c r="M84" s="26">
        <f t="shared" si="15"/>
        <v>4244581.92</v>
      </c>
      <c r="N84" s="26">
        <f t="shared" si="16"/>
        <v>660000</v>
      </c>
      <c r="O84" s="26">
        <f t="shared" si="17"/>
        <v>3584581.92</v>
      </c>
      <c r="P84" s="28">
        <f t="shared" si="18"/>
        <v>298710</v>
      </c>
      <c r="Q84" s="28">
        <f>TRUNC(P84*요율기준!$B$12,-1)</f>
        <v>29870</v>
      </c>
      <c r="R84" s="28">
        <f t="shared" si="19"/>
        <v>328580</v>
      </c>
    </row>
    <row r="85" spans="1:18" x14ac:dyDescent="0.4">
      <c r="A85" s="30">
        <f>급여대장!A85</f>
        <v>46266</v>
      </c>
      <c r="B85" s="17">
        <v>7</v>
      </c>
      <c r="C85" s="25" t="str">
        <f>급여대장!D85</f>
        <v>사랑비</v>
      </c>
      <c r="D85" s="31">
        <f>직원정보!I11</f>
        <v>1</v>
      </c>
      <c r="E85" s="29">
        <f>급여대장!V85</f>
        <v>5085780</v>
      </c>
      <c r="F85" s="26">
        <f t="shared" si="10"/>
        <v>61029360</v>
      </c>
      <c r="G85" s="26">
        <f t="shared" si="11"/>
        <v>12801468</v>
      </c>
      <c r="H85" s="26">
        <f t="shared" si="12"/>
        <v>48227892</v>
      </c>
      <c r="I85" s="26">
        <f>D85*요율기준!$B$13</f>
        <v>1500000</v>
      </c>
      <c r="J85" s="29">
        <f>'4대보험'!F85*12</f>
        <v>2746320</v>
      </c>
      <c r="K85" s="26">
        <f t="shared" si="13"/>
        <v>5541174.4000000004</v>
      </c>
      <c r="L85" s="26">
        <f t="shared" si="14"/>
        <v>38440397.600000001</v>
      </c>
      <c r="M85" s="26">
        <f t="shared" si="15"/>
        <v>4506059.6400000006</v>
      </c>
      <c r="N85" s="26">
        <f t="shared" si="16"/>
        <v>660000</v>
      </c>
      <c r="O85" s="26">
        <f t="shared" si="17"/>
        <v>3846059.6400000006</v>
      </c>
      <c r="P85" s="28">
        <f t="shared" si="18"/>
        <v>320500</v>
      </c>
      <c r="Q85" s="28">
        <f>TRUNC(P85*요율기준!$B$12,-1)</f>
        <v>32050</v>
      </c>
      <c r="R85" s="28">
        <f t="shared" si="19"/>
        <v>352550</v>
      </c>
    </row>
    <row r="86" spans="1:18" x14ac:dyDescent="0.4">
      <c r="A86" s="30">
        <f>급여대장!A86</f>
        <v>46296</v>
      </c>
      <c r="B86" s="17">
        <v>7</v>
      </c>
      <c r="C86" s="25" t="str">
        <f>급여대장!D86</f>
        <v>사랑비</v>
      </c>
      <c r="D86" s="31">
        <f>직원정보!I11</f>
        <v>1</v>
      </c>
      <c r="E86" s="29">
        <f>급여대장!V86</f>
        <v>5253720</v>
      </c>
      <c r="F86" s="26">
        <f t="shared" si="10"/>
        <v>63044640</v>
      </c>
      <c r="G86" s="26">
        <f t="shared" si="11"/>
        <v>12902232</v>
      </c>
      <c r="H86" s="26">
        <f t="shared" si="12"/>
        <v>50142408</v>
      </c>
      <c r="I86" s="26">
        <f>D86*요율기준!$B$13</f>
        <v>1500000</v>
      </c>
      <c r="J86" s="29">
        <f>'4대보험'!F86*12</f>
        <v>2836920</v>
      </c>
      <c r="K86" s="26">
        <f t="shared" si="13"/>
        <v>5621785.5999999996</v>
      </c>
      <c r="L86" s="26">
        <f t="shared" si="14"/>
        <v>40183702.399999999</v>
      </c>
      <c r="M86" s="26">
        <f t="shared" si="15"/>
        <v>4767555.3599999994</v>
      </c>
      <c r="N86" s="26">
        <f t="shared" si="16"/>
        <v>660000</v>
      </c>
      <c r="O86" s="26">
        <f t="shared" si="17"/>
        <v>4107555.3599999994</v>
      </c>
      <c r="P86" s="28">
        <f t="shared" si="18"/>
        <v>342290</v>
      </c>
      <c r="Q86" s="28">
        <f>TRUNC(P86*요율기준!$B$12,-1)</f>
        <v>34220</v>
      </c>
      <c r="R86" s="28">
        <f t="shared" si="19"/>
        <v>376510</v>
      </c>
    </row>
    <row r="87" spans="1:18" x14ac:dyDescent="0.4">
      <c r="A87" s="30">
        <f>급여대장!A87</f>
        <v>46327</v>
      </c>
      <c r="B87" s="17">
        <v>7</v>
      </c>
      <c r="C87" s="25" t="str">
        <f>급여대장!D87</f>
        <v>사랑비</v>
      </c>
      <c r="D87" s="31">
        <f>직원정보!I11</f>
        <v>1</v>
      </c>
      <c r="E87" s="29">
        <f>급여대장!V87</f>
        <v>5421660</v>
      </c>
      <c r="F87" s="26">
        <f t="shared" si="10"/>
        <v>65059920</v>
      </c>
      <c r="G87" s="26">
        <f t="shared" si="11"/>
        <v>13002996</v>
      </c>
      <c r="H87" s="26">
        <f t="shared" si="12"/>
        <v>52056924</v>
      </c>
      <c r="I87" s="26">
        <f>D87*요율기준!$B$13</f>
        <v>1500000</v>
      </c>
      <c r="J87" s="29">
        <f>'4대보험'!F87*12</f>
        <v>2927640</v>
      </c>
      <c r="K87" s="26">
        <f t="shared" si="13"/>
        <v>5702396.8000000007</v>
      </c>
      <c r="L87" s="26">
        <f t="shared" si="14"/>
        <v>41926887.200000003</v>
      </c>
      <c r="M87" s="26">
        <f t="shared" si="15"/>
        <v>5029033.08</v>
      </c>
      <c r="N87" s="26">
        <f t="shared" si="16"/>
        <v>660000</v>
      </c>
      <c r="O87" s="26">
        <f t="shared" si="17"/>
        <v>4369033.08</v>
      </c>
      <c r="P87" s="28">
        <f t="shared" si="18"/>
        <v>364080</v>
      </c>
      <c r="Q87" s="28">
        <f>TRUNC(P87*요율기준!$B$12,-1)</f>
        <v>36400</v>
      </c>
      <c r="R87" s="28">
        <f t="shared" si="19"/>
        <v>400480</v>
      </c>
    </row>
    <row r="88" spans="1:18" x14ac:dyDescent="0.4">
      <c r="A88" s="30">
        <f>급여대장!A88</f>
        <v>46357</v>
      </c>
      <c r="B88" s="17">
        <v>7</v>
      </c>
      <c r="C88" s="25" t="str">
        <f>급여대장!D88</f>
        <v>사랑비</v>
      </c>
      <c r="D88" s="31">
        <f>직원정보!I11</f>
        <v>1</v>
      </c>
      <c r="E88" s="29">
        <f>급여대장!V88</f>
        <v>4777890</v>
      </c>
      <c r="F88" s="26">
        <f t="shared" si="10"/>
        <v>57334680</v>
      </c>
      <c r="G88" s="26">
        <f t="shared" si="11"/>
        <v>12616734</v>
      </c>
      <c r="H88" s="26">
        <f t="shared" si="12"/>
        <v>44717946</v>
      </c>
      <c r="I88" s="26">
        <f>D88*요율기준!$B$13</f>
        <v>1500000</v>
      </c>
      <c r="J88" s="29">
        <f>'4대보험'!F88*12</f>
        <v>2580000</v>
      </c>
      <c r="K88" s="26">
        <f t="shared" si="13"/>
        <v>5393387.2000000002</v>
      </c>
      <c r="L88" s="26">
        <f t="shared" si="14"/>
        <v>35244558.799999997</v>
      </c>
      <c r="M88" s="26">
        <f t="shared" si="15"/>
        <v>4026683.8199999994</v>
      </c>
      <c r="N88" s="26">
        <f t="shared" si="16"/>
        <v>660000</v>
      </c>
      <c r="O88" s="26">
        <f t="shared" si="17"/>
        <v>3366683.8199999994</v>
      </c>
      <c r="P88" s="28">
        <f t="shared" si="18"/>
        <v>280550</v>
      </c>
      <c r="Q88" s="28">
        <f>TRUNC(P88*요율기준!$B$12,-1)</f>
        <v>28050</v>
      </c>
      <c r="R88" s="28">
        <f t="shared" si="19"/>
        <v>308600</v>
      </c>
    </row>
    <row r="89" spans="1:18" x14ac:dyDescent="0.4">
      <c r="A89" s="30">
        <f>급여대장!A89</f>
        <v>46023</v>
      </c>
      <c r="B89" s="17">
        <v>8</v>
      </c>
      <c r="C89" s="25" t="str">
        <f>급여대장!D89</f>
        <v>아름찬</v>
      </c>
      <c r="D89" s="31">
        <f>직원정보!I12</f>
        <v>1</v>
      </c>
      <c r="E89" s="29">
        <f>급여대장!V89</f>
        <v>4768560</v>
      </c>
      <c r="F89" s="26">
        <f t="shared" si="10"/>
        <v>57222720</v>
      </c>
      <c r="G89" s="26">
        <f t="shared" si="11"/>
        <v>12611136</v>
      </c>
      <c r="H89" s="26">
        <f t="shared" si="12"/>
        <v>44611584</v>
      </c>
      <c r="I89" s="26">
        <f>D89*요율기준!$B$13</f>
        <v>1500000</v>
      </c>
      <c r="J89" s="29">
        <f>'4대보험'!F89*12</f>
        <v>2574960</v>
      </c>
      <c r="K89" s="26">
        <f t="shared" si="13"/>
        <v>5388908.8000000007</v>
      </c>
      <c r="L89" s="26">
        <f t="shared" si="14"/>
        <v>35147715.200000003</v>
      </c>
      <c r="M89" s="26">
        <f t="shared" si="15"/>
        <v>4012157.2800000003</v>
      </c>
      <c r="N89" s="26">
        <f t="shared" si="16"/>
        <v>660000</v>
      </c>
      <c r="O89" s="26">
        <f t="shared" si="17"/>
        <v>3352157.2800000003</v>
      </c>
      <c r="P89" s="28">
        <f t="shared" si="18"/>
        <v>279340</v>
      </c>
      <c r="Q89" s="28">
        <f>TRUNC(P89*요율기준!$B$12,-1)</f>
        <v>27930</v>
      </c>
      <c r="R89" s="28">
        <f t="shared" si="19"/>
        <v>307270</v>
      </c>
    </row>
    <row r="90" spans="1:18" x14ac:dyDescent="0.4">
      <c r="A90" s="30">
        <f>급여대장!A90</f>
        <v>46054</v>
      </c>
      <c r="B90" s="17">
        <v>8</v>
      </c>
      <c r="C90" s="25" t="str">
        <f>급여대장!D90</f>
        <v>아름찬</v>
      </c>
      <c r="D90" s="31">
        <f>직원정보!I12</f>
        <v>1</v>
      </c>
      <c r="E90" s="29">
        <f>급여대장!V90</f>
        <v>4936500</v>
      </c>
      <c r="F90" s="26">
        <f t="shared" si="10"/>
        <v>59238000</v>
      </c>
      <c r="G90" s="26">
        <f t="shared" si="11"/>
        <v>12711900</v>
      </c>
      <c r="H90" s="26">
        <f t="shared" si="12"/>
        <v>46526100</v>
      </c>
      <c r="I90" s="26">
        <f>D90*요율기준!$B$13</f>
        <v>1500000</v>
      </c>
      <c r="J90" s="29">
        <f>'4대보험'!F90*12</f>
        <v>2665680</v>
      </c>
      <c r="K90" s="26">
        <f t="shared" si="13"/>
        <v>5469520</v>
      </c>
      <c r="L90" s="26">
        <f t="shared" si="14"/>
        <v>36890900</v>
      </c>
      <c r="M90" s="26">
        <f t="shared" si="15"/>
        <v>4273635</v>
      </c>
      <c r="N90" s="26">
        <f t="shared" si="16"/>
        <v>660000</v>
      </c>
      <c r="O90" s="26">
        <f t="shared" si="17"/>
        <v>3613635</v>
      </c>
      <c r="P90" s="28">
        <f t="shared" si="18"/>
        <v>301130</v>
      </c>
      <c r="Q90" s="28">
        <f>TRUNC(P90*요율기준!$B$12,-1)</f>
        <v>30110</v>
      </c>
      <c r="R90" s="28">
        <f t="shared" si="19"/>
        <v>331240</v>
      </c>
    </row>
    <row r="91" spans="1:18" x14ac:dyDescent="0.4">
      <c r="A91" s="30">
        <f>급여대장!A91</f>
        <v>46082</v>
      </c>
      <c r="B91" s="17">
        <v>8</v>
      </c>
      <c r="C91" s="25" t="str">
        <f>급여대장!D91</f>
        <v>아름찬</v>
      </c>
      <c r="D91" s="31">
        <f>직원정보!I12</f>
        <v>1</v>
      </c>
      <c r="E91" s="29">
        <f>급여대장!V91</f>
        <v>5104440</v>
      </c>
      <c r="F91" s="26">
        <f t="shared" si="10"/>
        <v>61253280</v>
      </c>
      <c r="G91" s="26">
        <f t="shared" si="11"/>
        <v>12812664</v>
      </c>
      <c r="H91" s="26">
        <f t="shared" si="12"/>
        <v>48440616</v>
      </c>
      <c r="I91" s="26">
        <f>D91*요율기준!$B$13</f>
        <v>1500000</v>
      </c>
      <c r="J91" s="29">
        <f>'4대보험'!F91*12</f>
        <v>2756280</v>
      </c>
      <c r="K91" s="26">
        <f t="shared" si="13"/>
        <v>5550131.2000000002</v>
      </c>
      <c r="L91" s="26">
        <f t="shared" si="14"/>
        <v>38634204.799999997</v>
      </c>
      <c r="M91" s="26">
        <f t="shared" si="15"/>
        <v>4535130.7199999988</v>
      </c>
      <c r="N91" s="26">
        <f t="shared" si="16"/>
        <v>660000</v>
      </c>
      <c r="O91" s="26">
        <f t="shared" si="17"/>
        <v>3875130.7199999988</v>
      </c>
      <c r="P91" s="28">
        <f t="shared" si="18"/>
        <v>322920</v>
      </c>
      <c r="Q91" s="28">
        <f>TRUNC(P91*요율기준!$B$12,-1)</f>
        <v>32290</v>
      </c>
      <c r="R91" s="28">
        <f t="shared" si="19"/>
        <v>355210</v>
      </c>
    </row>
    <row r="92" spans="1:18" x14ac:dyDescent="0.4">
      <c r="A92" s="30">
        <f>급여대장!A92</f>
        <v>46113</v>
      </c>
      <c r="B92" s="17">
        <v>8</v>
      </c>
      <c r="C92" s="25" t="str">
        <f>급여대장!D92</f>
        <v>아름찬</v>
      </c>
      <c r="D92" s="31">
        <f>직원정보!I12</f>
        <v>1</v>
      </c>
      <c r="E92" s="29">
        <f>급여대장!V92</f>
        <v>5160420</v>
      </c>
      <c r="F92" s="26">
        <f t="shared" si="10"/>
        <v>61925040</v>
      </c>
      <c r="G92" s="26">
        <f t="shared" si="11"/>
        <v>12846252</v>
      </c>
      <c r="H92" s="26">
        <f t="shared" si="12"/>
        <v>49078788</v>
      </c>
      <c r="I92" s="26">
        <f>D92*요율기준!$B$13</f>
        <v>1500000</v>
      </c>
      <c r="J92" s="29">
        <f>'4대보험'!F92*12</f>
        <v>2786520</v>
      </c>
      <c r="K92" s="26">
        <f t="shared" si="13"/>
        <v>5577001.5999999996</v>
      </c>
      <c r="L92" s="26">
        <f t="shared" si="14"/>
        <v>39215266.399999999</v>
      </c>
      <c r="M92" s="26">
        <f t="shared" si="15"/>
        <v>4622289.959999999</v>
      </c>
      <c r="N92" s="26">
        <f t="shared" si="16"/>
        <v>660000</v>
      </c>
      <c r="O92" s="26">
        <f t="shared" si="17"/>
        <v>3962289.959999999</v>
      </c>
      <c r="P92" s="28">
        <f t="shared" si="18"/>
        <v>330190</v>
      </c>
      <c r="Q92" s="28">
        <f>TRUNC(P92*요율기준!$B$12,-1)</f>
        <v>33010</v>
      </c>
      <c r="R92" s="28">
        <f t="shared" si="19"/>
        <v>363200</v>
      </c>
    </row>
    <row r="93" spans="1:18" x14ac:dyDescent="0.4">
      <c r="A93" s="30">
        <f>급여대장!A93</f>
        <v>46143</v>
      </c>
      <c r="B93" s="17">
        <v>8</v>
      </c>
      <c r="C93" s="25" t="str">
        <f>급여대장!D93</f>
        <v>아름찬</v>
      </c>
      <c r="D93" s="31">
        <f>직원정보!I12</f>
        <v>1</v>
      </c>
      <c r="E93" s="29">
        <f>급여대장!V93</f>
        <v>5328360</v>
      </c>
      <c r="F93" s="26">
        <f t="shared" si="10"/>
        <v>63940320</v>
      </c>
      <c r="G93" s="26">
        <f t="shared" si="11"/>
        <v>12947016</v>
      </c>
      <c r="H93" s="26">
        <f t="shared" si="12"/>
        <v>50993304</v>
      </c>
      <c r="I93" s="26">
        <f>D93*요율기준!$B$13</f>
        <v>1500000</v>
      </c>
      <c r="J93" s="29">
        <f>'4대보험'!F93*12</f>
        <v>2877240</v>
      </c>
      <c r="K93" s="26">
        <f t="shared" si="13"/>
        <v>5657612.8000000007</v>
      </c>
      <c r="L93" s="26">
        <f t="shared" si="14"/>
        <v>40958451.200000003</v>
      </c>
      <c r="M93" s="26">
        <f t="shared" si="15"/>
        <v>4883767.68</v>
      </c>
      <c r="N93" s="26">
        <f t="shared" si="16"/>
        <v>660000</v>
      </c>
      <c r="O93" s="26">
        <f t="shared" si="17"/>
        <v>4223767.68</v>
      </c>
      <c r="P93" s="28">
        <f t="shared" si="18"/>
        <v>351980</v>
      </c>
      <c r="Q93" s="28">
        <f>TRUNC(P93*요율기준!$B$12,-1)</f>
        <v>35190</v>
      </c>
      <c r="R93" s="28">
        <f t="shared" si="19"/>
        <v>387170</v>
      </c>
    </row>
    <row r="94" spans="1:18" x14ac:dyDescent="0.4">
      <c r="A94" s="30">
        <f>급여대장!A94</f>
        <v>46174</v>
      </c>
      <c r="B94" s="17">
        <v>8</v>
      </c>
      <c r="C94" s="25" t="str">
        <f>급여대장!D94</f>
        <v>아름찬</v>
      </c>
      <c r="D94" s="31">
        <f>직원정보!I12</f>
        <v>1</v>
      </c>
      <c r="E94" s="29">
        <f>급여대장!V94</f>
        <v>4796550</v>
      </c>
      <c r="F94" s="26">
        <f t="shared" si="10"/>
        <v>57558600</v>
      </c>
      <c r="G94" s="26">
        <f t="shared" si="11"/>
        <v>12627930</v>
      </c>
      <c r="H94" s="26">
        <f t="shared" si="12"/>
        <v>44930670</v>
      </c>
      <c r="I94" s="26">
        <f>D94*요율기준!$B$13</f>
        <v>1500000</v>
      </c>
      <c r="J94" s="29">
        <f>'4대보험'!F94*12</f>
        <v>2590080</v>
      </c>
      <c r="K94" s="26">
        <f t="shared" si="13"/>
        <v>5402344</v>
      </c>
      <c r="L94" s="26">
        <f t="shared" si="14"/>
        <v>35438246</v>
      </c>
      <c r="M94" s="26">
        <f t="shared" si="15"/>
        <v>4055736.9</v>
      </c>
      <c r="N94" s="26">
        <f t="shared" si="16"/>
        <v>660000</v>
      </c>
      <c r="O94" s="26">
        <f t="shared" si="17"/>
        <v>3395736.9</v>
      </c>
      <c r="P94" s="28">
        <f t="shared" si="18"/>
        <v>282970</v>
      </c>
      <c r="Q94" s="28">
        <f>TRUNC(P94*요율기준!$B$12,-1)</f>
        <v>28290</v>
      </c>
      <c r="R94" s="28">
        <f t="shared" si="19"/>
        <v>311260</v>
      </c>
    </row>
    <row r="95" spans="1:18" x14ac:dyDescent="0.4">
      <c r="A95" s="30">
        <f>급여대장!A95</f>
        <v>46204</v>
      </c>
      <c r="B95" s="17">
        <v>8</v>
      </c>
      <c r="C95" s="25" t="str">
        <f>급여대장!D95</f>
        <v>아름찬</v>
      </c>
      <c r="D95" s="31">
        <f>직원정보!I12</f>
        <v>1</v>
      </c>
      <c r="E95" s="29">
        <f>급여대장!V95</f>
        <v>4964490</v>
      </c>
      <c r="F95" s="26">
        <f t="shared" si="10"/>
        <v>59573880</v>
      </c>
      <c r="G95" s="26">
        <f t="shared" si="11"/>
        <v>12728694</v>
      </c>
      <c r="H95" s="26">
        <f t="shared" si="12"/>
        <v>46845186</v>
      </c>
      <c r="I95" s="26">
        <f>D95*요율기준!$B$13</f>
        <v>1500000</v>
      </c>
      <c r="J95" s="29">
        <f>'4대보험'!F95*12</f>
        <v>2680800</v>
      </c>
      <c r="K95" s="26">
        <f t="shared" si="13"/>
        <v>5482955.2000000002</v>
      </c>
      <c r="L95" s="26">
        <f t="shared" si="14"/>
        <v>37181430.799999997</v>
      </c>
      <c r="M95" s="26">
        <f t="shared" si="15"/>
        <v>4317214.6199999992</v>
      </c>
      <c r="N95" s="26">
        <f t="shared" si="16"/>
        <v>660000</v>
      </c>
      <c r="O95" s="26">
        <f t="shared" si="17"/>
        <v>3657214.6199999992</v>
      </c>
      <c r="P95" s="28">
        <f t="shared" si="18"/>
        <v>304760</v>
      </c>
      <c r="Q95" s="28">
        <f>TRUNC(P95*요율기준!$B$12,-1)</f>
        <v>30470</v>
      </c>
      <c r="R95" s="28">
        <f t="shared" si="19"/>
        <v>335230</v>
      </c>
    </row>
    <row r="96" spans="1:18" x14ac:dyDescent="0.4">
      <c r="A96" s="30">
        <f>급여대장!A96</f>
        <v>46235</v>
      </c>
      <c r="B96" s="17">
        <v>8</v>
      </c>
      <c r="C96" s="25" t="str">
        <f>급여대장!D96</f>
        <v>아름찬</v>
      </c>
      <c r="D96" s="31">
        <f>직원정보!I12</f>
        <v>1</v>
      </c>
      <c r="E96" s="29">
        <f>급여대장!V96</f>
        <v>5020470</v>
      </c>
      <c r="F96" s="26">
        <f t="shared" si="10"/>
        <v>60245640</v>
      </c>
      <c r="G96" s="26">
        <f t="shared" si="11"/>
        <v>12762282</v>
      </c>
      <c r="H96" s="26">
        <f t="shared" si="12"/>
        <v>47483358</v>
      </c>
      <c r="I96" s="26">
        <f>D96*요율기준!$B$13</f>
        <v>1500000</v>
      </c>
      <c r="J96" s="29">
        <f>'4대보험'!F96*12</f>
        <v>2711040</v>
      </c>
      <c r="K96" s="26">
        <f t="shared" si="13"/>
        <v>5509825.5999999996</v>
      </c>
      <c r="L96" s="26">
        <f t="shared" si="14"/>
        <v>37762492.399999999</v>
      </c>
      <c r="M96" s="26">
        <f t="shared" si="15"/>
        <v>4404373.8599999994</v>
      </c>
      <c r="N96" s="26">
        <f t="shared" si="16"/>
        <v>660000</v>
      </c>
      <c r="O96" s="26">
        <f t="shared" si="17"/>
        <v>3744373.8599999994</v>
      </c>
      <c r="P96" s="28">
        <f t="shared" si="18"/>
        <v>312030</v>
      </c>
      <c r="Q96" s="28">
        <f>TRUNC(P96*요율기준!$B$12,-1)</f>
        <v>31200</v>
      </c>
      <c r="R96" s="28">
        <f t="shared" si="19"/>
        <v>343230</v>
      </c>
    </row>
    <row r="97" spans="1:18" x14ac:dyDescent="0.4">
      <c r="A97" s="30">
        <f>급여대장!A97</f>
        <v>46266</v>
      </c>
      <c r="B97" s="17">
        <v>8</v>
      </c>
      <c r="C97" s="25" t="str">
        <f>급여대장!D97</f>
        <v>아름찬</v>
      </c>
      <c r="D97" s="31">
        <f>직원정보!I12</f>
        <v>1</v>
      </c>
      <c r="E97" s="29">
        <f>급여대장!V97</f>
        <v>5188410</v>
      </c>
      <c r="F97" s="26">
        <f t="shared" si="10"/>
        <v>62260920</v>
      </c>
      <c r="G97" s="26">
        <f t="shared" si="11"/>
        <v>12863046</v>
      </c>
      <c r="H97" s="26">
        <f t="shared" si="12"/>
        <v>49397874</v>
      </c>
      <c r="I97" s="26">
        <f>D97*요율기준!$B$13</f>
        <v>1500000</v>
      </c>
      <c r="J97" s="29">
        <f>'4대보험'!F97*12</f>
        <v>2801640</v>
      </c>
      <c r="K97" s="26">
        <f t="shared" si="13"/>
        <v>5590436.8000000007</v>
      </c>
      <c r="L97" s="26">
        <f t="shared" si="14"/>
        <v>39505797.200000003</v>
      </c>
      <c r="M97" s="26">
        <f t="shared" si="15"/>
        <v>4665869.58</v>
      </c>
      <c r="N97" s="26">
        <f t="shared" si="16"/>
        <v>660000</v>
      </c>
      <c r="O97" s="26">
        <f t="shared" si="17"/>
        <v>4005869.58</v>
      </c>
      <c r="P97" s="28">
        <f t="shared" si="18"/>
        <v>333820</v>
      </c>
      <c r="Q97" s="28">
        <f>TRUNC(P97*요율기준!$B$12,-1)</f>
        <v>33380</v>
      </c>
      <c r="R97" s="28">
        <f t="shared" si="19"/>
        <v>367200</v>
      </c>
    </row>
    <row r="98" spans="1:18" x14ac:dyDescent="0.4">
      <c r="A98" s="30">
        <f>급여대장!A98</f>
        <v>46296</v>
      </c>
      <c r="B98" s="17">
        <v>8</v>
      </c>
      <c r="C98" s="25" t="str">
        <f>급여대장!D98</f>
        <v>아름찬</v>
      </c>
      <c r="D98" s="31">
        <f>직원정보!I12</f>
        <v>1</v>
      </c>
      <c r="E98" s="29">
        <f>급여대장!V98</f>
        <v>5356350</v>
      </c>
      <c r="F98" s="26">
        <f t="shared" si="10"/>
        <v>64276200</v>
      </c>
      <c r="G98" s="26">
        <f t="shared" si="11"/>
        <v>12963810</v>
      </c>
      <c r="H98" s="26">
        <f t="shared" si="12"/>
        <v>51312390</v>
      </c>
      <c r="I98" s="26">
        <f>D98*요율기준!$B$13</f>
        <v>1500000</v>
      </c>
      <c r="J98" s="29">
        <f>'4대보험'!F98*12</f>
        <v>2892360</v>
      </c>
      <c r="K98" s="26">
        <f t="shared" si="13"/>
        <v>5671048</v>
      </c>
      <c r="L98" s="26">
        <f t="shared" si="14"/>
        <v>41248982</v>
      </c>
      <c r="M98" s="26">
        <f t="shared" si="15"/>
        <v>4927347.3</v>
      </c>
      <c r="N98" s="26">
        <f t="shared" si="16"/>
        <v>660000</v>
      </c>
      <c r="O98" s="26">
        <f t="shared" si="17"/>
        <v>4267347.3</v>
      </c>
      <c r="P98" s="28">
        <f t="shared" si="18"/>
        <v>355610</v>
      </c>
      <c r="Q98" s="28">
        <f>TRUNC(P98*요율기준!$B$12,-1)</f>
        <v>35560</v>
      </c>
      <c r="R98" s="28">
        <f t="shared" si="19"/>
        <v>391170</v>
      </c>
    </row>
    <row r="99" spans="1:18" x14ac:dyDescent="0.4">
      <c r="A99" s="30">
        <f>급여대장!A99</f>
        <v>46327</v>
      </c>
      <c r="B99" s="17">
        <v>8</v>
      </c>
      <c r="C99" s="25" t="str">
        <f>급여대장!D99</f>
        <v>아름찬</v>
      </c>
      <c r="D99" s="31">
        <f>직원정보!I12</f>
        <v>1</v>
      </c>
      <c r="E99" s="29">
        <f>급여대장!V99</f>
        <v>4824540</v>
      </c>
      <c r="F99" s="26">
        <f t="shared" si="10"/>
        <v>57894480</v>
      </c>
      <c r="G99" s="26">
        <f t="shared" si="11"/>
        <v>12644724</v>
      </c>
      <c r="H99" s="26">
        <f t="shared" si="12"/>
        <v>45249756</v>
      </c>
      <c r="I99" s="26">
        <f>D99*요율기준!$B$13</f>
        <v>1500000</v>
      </c>
      <c r="J99" s="29">
        <f>'4대보험'!F99*12</f>
        <v>2605200</v>
      </c>
      <c r="K99" s="26">
        <f t="shared" si="13"/>
        <v>5415779.2000000002</v>
      </c>
      <c r="L99" s="26">
        <f t="shared" si="14"/>
        <v>35728776.799999997</v>
      </c>
      <c r="M99" s="26">
        <f t="shared" si="15"/>
        <v>4099316.5199999996</v>
      </c>
      <c r="N99" s="26">
        <f t="shared" si="16"/>
        <v>660000</v>
      </c>
      <c r="O99" s="26">
        <f t="shared" si="17"/>
        <v>3439316.5199999996</v>
      </c>
      <c r="P99" s="28">
        <f t="shared" si="18"/>
        <v>286600</v>
      </c>
      <c r="Q99" s="28">
        <f>TRUNC(P99*요율기준!$B$12,-1)</f>
        <v>28660</v>
      </c>
      <c r="R99" s="28">
        <f t="shared" si="19"/>
        <v>315260</v>
      </c>
    </row>
    <row r="100" spans="1:18" x14ac:dyDescent="0.4">
      <c r="A100" s="30">
        <f>급여대장!A100</f>
        <v>46357</v>
      </c>
      <c r="B100" s="17">
        <v>8</v>
      </c>
      <c r="C100" s="25" t="str">
        <f>급여대장!D100</f>
        <v>아름찬</v>
      </c>
      <c r="D100" s="31">
        <f>직원정보!I12</f>
        <v>1</v>
      </c>
      <c r="E100" s="29">
        <f>급여대장!V100</f>
        <v>4880520</v>
      </c>
      <c r="F100" s="26">
        <f t="shared" si="10"/>
        <v>58566240</v>
      </c>
      <c r="G100" s="26">
        <f t="shared" si="11"/>
        <v>12678312</v>
      </c>
      <c r="H100" s="26">
        <f t="shared" si="12"/>
        <v>45887928</v>
      </c>
      <c r="I100" s="26">
        <f>D100*요율기준!$B$13</f>
        <v>1500000</v>
      </c>
      <c r="J100" s="29">
        <f>'4대보험'!F100*12</f>
        <v>2635440</v>
      </c>
      <c r="K100" s="26">
        <f t="shared" si="13"/>
        <v>5442649.5999999996</v>
      </c>
      <c r="L100" s="26">
        <f t="shared" si="14"/>
        <v>36309838.399999999</v>
      </c>
      <c r="M100" s="26">
        <f t="shared" si="15"/>
        <v>4186475.76</v>
      </c>
      <c r="N100" s="26">
        <f t="shared" si="16"/>
        <v>660000</v>
      </c>
      <c r="O100" s="26">
        <f t="shared" si="17"/>
        <v>3526475.76</v>
      </c>
      <c r="P100" s="28">
        <f t="shared" si="18"/>
        <v>293870</v>
      </c>
      <c r="Q100" s="28">
        <f>TRUNC(P100*요율기준!$B$12,-1)</f>
        <v>29380</v>
      </c>
      <c r="R100" s="28">
        <f t="shared" si="19"/>
        <v>323250</v>
      </c>
    </row>
    <row r="101" spans="1:18" x14ac:dyDescent="0.4">
      <c r="A101" s="30">
        <f>급여대장!A101</f>
        <v>46023</v>
      </c>
      <c r="B101" s="17">
        <v>9</v>
      </c>
      <c r="C101" s="25" t="str">
        <f>급여대장!D101</f>
        <v>자유롬</v>
      </c>
      <c r="D101" s="31">
        <f>직원정보!I13</f>
        <v>1</v>
      </c>
      <c r="E101" s="29">
        <f>급여대장!V101</f>
        <v>4460039</v>
      </c>
      <c r="F101" s="26">
        <f t="shared" si="10"/>
        <v>53520468</v>
      </c>
      <c r="G101" s="26">
        <f t="shared" si="11"/>
        <v>12426023.4</v>
      </c>
      <c r="H101" s="26">
        <f t="shared" si="12"/>
        <v>41094444.600000001</v>
      </c>
      <c r="I101" s="26">
        <f>D101*요율기준!$B$13</f>
        <v>1500000</v>
      </c>
      <c r="J101" s="29">
        <f>'4대보험'!F101*12</f>
        <v>2408400</v>
      </c>
      <c r="K101" s="26">
        <f t="shared" si="13"/>
        <v>5240818.7200000007</v>
      </c>
      <c r="L101" s="26">
        <f t="shared" si="14"/>
        <v>31945225.880000003</v>
      </c>
      <c r="M101" s="26">
        <f t="shared" si="15"/>
        <v>3531783.8820000002</v>
      </c>
      <c r="N101" s="26">
        <f t="shared" si="16"/>
        <v>660000</v>
      </c>
      <c r="O101" s="26">
        <f t="shared" si="17"/>
        <v>2871783.8820000002</v>
      </c>
      <c r="P101" s="28">
        <f t="shared" si="18"/>
        <v>239310</v>
      </c>
      <c r="Q101" s="28">
        <f>TRUNC(P101*요율기준!$B$12,-1)</f>
        <v>23930</v>
      </c>
      <c r="R101" s="28">
        <f t="shared" si="19"/>
        <v>263240</v>
      </c>
    </row>
    <row r="102" spans="1:18" x14ac:dyDescent="0.4">
      <c r="A102" s="30">
        <f>급여대장!A102</f>
        <v>46054</v>
      </c>
      <c r="B102" s="17">
        <v>9</v>
      </c>
      <c r="C102" s="25" t="str">
        <f>급여대장!D102</f>
        <v>자유롬</v>
      </c>
      <c r="D102" s="31">
        <f>직원정보!I13</f>
        <v>1</v>
      </c>
      <c r="E102" s="29">
        <f>급여대장!V102</f>
        <v>4610753</v>
      </c>
      <c r="F102" s="26">
        <f t="shared" si="10"/>
        <v>55329036</v>
      </c>
      <c r="G102" s="26">
        <f t="shared" si="11"/>
        <v>12516451.800000001</v>
      </c>
      <c r="H102" s="26">
        <f t="shared" si="12"/>
        <v>42812584.200000003</v>
      </c>
      <c r="I102" s="26">
        <f>D102*요율기준!$B$13</f>
        <v>1500000</v>
      </c>
      <c r="J102" s="29">
        <f>'4대보험'!F102*12</f>
        <v>2489760</v>
      </c>
      <c r="K102" s="26">
        <f t="shared" si="13"/>
        <v>5313161.4399999995</v>
      </c>
      <c r="L102" s="26">
        <f t="shared" si="14"/>
        <v>33509662.760000005</v>
      </c>
      <c r="M102" s="26">
        <f t="shared" si="15"/>
        <v>3766449.4140000008</v>
      </c>
      <c r="N102" s="26">
        <f t="shared" si="16"/>
        <v>660000</v>
      </c>
      <c r="O102" s="26">
        <f t="shared" si="17"/>
        <v>3106449.4140000008</v>
      </c>
      <c r="P102" s="28">
        <f t="shared" si="18"/>
        <v>258870</v>
      </c>
      <c r="Q102" s="28">
        <f>TRUNC(P102*요율기준!$B$12,-1)</f>
        <v>25880</v>
      </c>
      <c r="R102" s="28">
        <f t="shared" si="19"/>
        <v>284750</v>
      </c>
    </row>
    <row r="103" spans="1:18" x14ac:dyDescent="0.4">
      <c r="A103" s="30">
        <f>급여대장!A103</f>
        <v>46082</v>
      </c>
      <c r="B103" s="17">
        <v>9</v>
      </c>
      <c r="C103" s="25" t="str">
        <f>급여대장!D103</f>
        <v>자유롬</v>
      </c>
      <c r="D103" s="31">
        <f>직원정보!I13</f>
        <v>1</v>
      </c>
      <c r="E103" s="29">
        <f>급여대장!V103</f>
        <v>4660991</v>
      </c>
      <c r="F103" s="26">
        <f t="shared" si="10"/>
        <v>55931892</v>
      </c>
      <c r="G103" s="26">
        <f t="shared" si="11"/>
        <v>12546594.6</v>
      </c>
      <c r="H103" s="26">
        <f t="shared" si="12"/>
        <v>43385297.399999999</v>
      </c>
      <c r="I103" s="26">
        <f>D103*요율기준!$B$13</f>
        <v>1500000</v>
      </c>
      <c r="J103" s="29">
        <f>'4대보험'!F103*12</f>
        <v>2516880</v>
      </c>
      <c r="K103" s="26">
        <f t="shared" si="13"/>
        <v>5337275.68</v>
      </c>
      <c r="L103" s="26">
        <f t="shared" si="14"/>
        <v>34031141.719999999</v>
      </c>
      <c r="M103" s="26">
        <f t="shared" si="15"/>
        <v>3844671.2579999999</v>
      </c>
      <c r="N103" s="26">
        <f t="shared" si="16"/>
        <v>660000</v>
      </c>
      <c r="O103" s="26">
        <f t="shared" si="17"/>
        <v>3184671.2579999999</v>
      </c>
      <c r="P103" s="28">
        <f t="shared" si="18"/>
        <v>265380</v>
      </c>
      <c r="Q103" s="28">
        <f>TRUNC(P103*요율기준!$B$12,-1)</f>
        <v>26530</v>
      </c>
      <c r="R103" s="28">
        <f t="shared" si="19"/>
        <v>291910</v>
      </c>
    </row>
    <row r="104" spans="1:18" x14ac:dyDescent="0.4">
      <c r="A104" s="30">
        <f>급여대장!A104</f>
        <v>46113</v>
      </c>
      <c r="B104" s="17">
        <v>9</v>
      </c>
      <c r="C104" s="25" t="str">
        <f>급여대장!D104</f>
        <v>자유롬</v>
      </c>
      <c r="D104" s="31">
        <f>직원정보!I13</f>
        <v>1</v>
      </c>
      <c r="E104" s="29">
        <f>급여대장!V104</f>
        <v>4811705</v>
      </c>
      <c r="F104" s="26">
        <f t="shared" si="10"/>
        <v>57740460</v>
      </c>
      <c r="G104" s="26">
        <f t="shared" si="11"/>
        <v>12637023</v>
      </c>
      <c r="H104" s="26">
        <f t="shared" si="12"/>
        <v>45103437</v>
      </c>
      <c r="I104" s="26">
        <f>D104*요율기준!$B$13</f>
        <v>1500000</v>
      </c>
      <c r="J104" s="29">
        <f>'4대보험'!F104*12</f>
        <v>2598240</v>
      </c>
      <c r="K104" s="26">
        <f t="shared" si="13"/>
        <v>5409618.4000000004</v>
      </c>
      <c r="L104" s="26">
        <f t="shared" si="14"/>
        <v>35595578.600000001</v>
      </c>
      <c r="M104" s="26">
        <f t="shared" si="15"/>
        <v>4079336.79</v>
      </c>
      <c r="N104" s="26">
        <f t="shared" si="16"/>
        <v>660000</v>
      </c>
      <c r="O104" s="26">
        <f t="shared" si="17"/>
        <v>3419336.79</v>
      </c>
      <c r="P104" s="28">
        <f t="shared" si="18"/>
        <v>284940</v>
      </c>
      <c r="Q104" s="28">
        <f>TRUNC(P104*요율기준!$B$12,-1)</f>
        <v>28490</v>
      </c>
      <c r="R104" s="28">
        <f t="shared" si="19"/>
        <v>313430</v>
      </c>
    </row>
    <row r="105" spans="1:18" x14ac:dyDescent="0.4">
      <c r="A105" s="30">
        <f>급여대장!A105</f>
        <v>46143</v>
      </c>
      <c r="B105" s="17">
        <v>9</v>
      </c>
      <c r="C105" s="25" t="str">
        <f>급여대장!D105</f>
        <v>자유롬</v>
      </c>
      <c r="D105" s="31">
        <f>직원정보!I13</f>
        <v>1</v>
      </c>
      <c r="E105" s="29">
        <f>급여대장!V105</f>
        <v>4962419</v>
      </c>
      <c r="F105" s="26">
        <f t="shared" si="10"/>
        <v>59549028</v>
      </c>
      <c r="G105" s="26">
        <f t="shared" si="11"/>
        <v>12727451.4</v>
      </c>
      <c r="H105" s="26">
        <f t="shared" si="12"/>
        <v>46821576.600000001</v>
      </c>
      <c r="I105" s="26">
        <f>D105*요율기준!$B$13</f>
        <v>1500000</v>
      </c>
      <c r="J105" s="29">
        <f>'4대보험'!F105*12</f>
        <v>2679600</v>
      </c>
      <c r="K105" s="26">
        <f t="shared" si="13"/>
        <v>5481961.1200000001</v>
      </c>
      <c r="L105" s="26">
        <f t="shared" si="14"/>
        <v>37160015.480000004</v>
      </c>
      <c r="M105" s="26">
        <f t="shared" si="15"/>
        <v>4314002.3220000006</v>
      </c>
      <c r="N105" s="26">
        <f t="shared" si="16"/>
        <v>660000</v>
      </c>
      <c r="O105" s="26">
        <f t="shared" si="17"/>
        <v>3654002.3220000006</v>
      </c>
      <c r="P105" s="28">
        <f t="shared" si="18"/>
        <v>304500</v>
      </c>
      <c r="Q105" s="28">
        <f>TRUNC(P105*요율기준!$B$12,-1)</f>
        <v>30450</v>
      </c>
      <c r="R105" s="28">
        <f t="shared" si="19"/>
        <v>334950</v>
      </c>
    </row>
    <row r="106" spans="1:18" x14ac:dyDescent="0.4">
      <c r="A106" s="30">
        <f>급여대장!A106</f>
        <v>46174</v>
      </c>
      <c r="B106" s="17">
        <v>9</v>
      </c>
      <c r="C106" s="25" t="str">
        <f>급여대장!D106</f>
        <v>자유롬</v>
      </c>
      <c r="D106" s="31">
        <f>직원정보!I13</f>
        <v>1</v>
      </c>
      <c r="E106" s="29">
        <f>급여대장!V106</f>
        <v>4485158</v>
      </c>
      <c r="F106" s="26">
        <f t="shared" si="10"/>
        <v>53821896</v>
      </c>
      <c r="G106" s="26">
        <f t="shared" si="11"/>
        <v>12441094.800000001</v>
      </c>
      <c r="H106" s="26">
        <f t="shared" si="12"/>
        <v>41380801.200000003</v>
      </c>
      <c r="I106" s="26">
        <f>D106*요율기준!$B$13</f>
        <v>1500000</v>
      </c>
      <c r="J106" s="29">
        <f>'4대보험'!F106*12</f>
        <v>2421960</v>
      </c>
      <c r="K106" s="26">
        <f t="shared" si="13"/>
        <v>5252875.84</v>
      </c>
      <c r="L106" s="26">
        <f t="shared" si="14"/>
        <v>32205965.360000003</v>
      </c>
      <c r="M106" s="26">
        <f t="shared" si="15"/>
        <v>3570894.8040000005</v>
      </c>
      <c r="N106" s="26">
        <f t="shared" si="16"/>
        <v>660000</v>
      </c>
      <c r="O106" s="26">
        <f t="shared" si="17"/>
        <v>2910894.8040000005</v>
      </c>
      <c r="P106" s="28">
        <f t="shared" si="18"/>
        <v>242570</v>
      </c>
      <c r="Q106" s="28">
        <f>TRUNC(P106*요율기준!$B$12,-1)</f>
        <v>24250</v>
      </c>
      <c r="R106" s="28">
        <f t="shared" si="19"/>
        <v>266820</v>
      </c>
    </row>
    <row r="107" spans="1:18" x14ac:dyDescent="0.4">
      <c r="A107" s="30">
        <f>급여대장!A107</f>
        <v>46204</v>
      </c>
      <c r="B107" s="17">
        <v>9</v>
      </c>
      <c r="C107" s="25" t="str">
        <f>급여대장!D107</f>
        <v>자유롬</v>
      </c>
      <c r="D107" s="31">
        <f>직원정보!I13</f>
        <v>1</v>
      </c>
      <c r="E107" s="29">
        <f>급여대장!V107</f>
        <v>4535396</v>
      </c>
      <c r="F107" s="26">
        <f t="shared" si="10"/>
        <v>54424752</v>
      </c>
      <c r="G107" s="26">
        <f t="shared" si="11"/>
        <v>12471237.6</v>
      </c>
      <c r="H107" s="26">
        <f t="shared" si="12"/>
        <v>41953514.399999999</v>
      </c>
      <c r="I107" s="26">
        <f>D107*요율기준!$B$13</f>
        <v>1500000</v>
      </c>
      <c r="J107" s="29">
        <f>'4대보험'!F107*12</f>
        <v>2449080</v>
      </c>
      <c r="K107" s="26">
        <f t="shared" si="13"/>
        <v>5276990.08</v>
      </c>
      <c r="L107" s="26">
        <f t="shared" si="14"/>
        <v>32727444.32</v>
      </c>
      <c r="M107" s="26">
        <f t="shared" si="15"/>
        <v>3649116.648</v>
      </c>
      <c r="N107" s="26">
        <f t="shared" si="16"/>
        <v>660000</v>
      </c>
      <c r="O107" s="26">
        <f t="shared" si="17"/>
        <v>2989116.648</v>
      </c>
      <c r="P107" s="28">
        <f t="shared" si="18"/>
        <v>249090</v>
      </c>
      <c r="Q107" s="28">
        <f>TRUNC(P107*요율기준!$B$12,-1)</f>
        <v>24900</v>
      </c>
      <c r="R107" s="28">
        <f t="shared" si="19"/>
        <v>273990</v>
      </c>
    </row>
    <row r="108" spans="1:18" x14ac:dyDescent="0.4">
      <c r="A108" s="30">
        <f>급여대장!A108</f>
        <v>46235</v>
      </c>
      <c r="B108" s="17">
        <v>9</v>
      </c>
      <c r="C108" s="25" t="str">
        <f>급여대장!D108</f>
        <v>자유롬</v>
      </c>
      <c r="D108" s="31">
        <f>직원정보!I13</f>
        <v>1</v>
      </c>
      <c r="E108" s="29">
        <f>급여대장!V108</f>
        <v>4686110</v>
      </c>
      <c r="F108" s="26">
        <f t="shared" si="10"/>
        <v>56233320</v>
      </c>
      <c r="G108" s="26">
        <f t="shared" si="11"/>
        <v>12561666</v>
      </c>
      <c r="H108" s="26">
        <f t="shared" si="12"/>
        <v>43671654</v>
      </c>
      <c r="I108" s="26">
        <f>D108*요율기준!$B$13</f>
        <v>1500000</v>
      </c>
      <c r="J108" s="29">
        <f>'4대보험'!F108*12</f>
        <v>2530440</v>
      </c>
      <c r="K108" s="26">
        <f t="shared" si="13"/>
        <v>5349332.8000000007</v>
      </c>
      <c r="L108" s="26">
        <f t="shared" si="14"/>
        <v>34291881.200000003</v>
      </c>
      <c r="M108" s="26">
        <f t="shared" si="15"/>
        <v>3883782.18</v>
      </c>
      <c r="N108" s="26">
        <f t="shared" si="16"/>
        <v>660000</v>
      </c>
      <c r="O108" s="26">
        <f t="shared" si="17"/>
        <v>3223782.18</v>
      </c>
      <c r="P108" s="28">
        <f t="shared" si="18"/>
        <v>268640</v>
      </c>
      <c r="Q108" s="28">
        <f>TRUNC(P108*요율기준!$B$12,-1)</f>
        <v>26860</v>
      </c>
      <c r="R108" s="28">
        <f t="shared" si="19"/>
        <v>295500</v>
      </c>
    </row>
    <row r="109" spans="1:18" x14ac:dyDescent="0.4">
      <c r="A109" s="30">
        <f>급여대장!A109</f>
        <v>46266</v>
      </c>
      <c r="B109" s="17">
        <v>9</v>
      </c>
      <c r="C109" s="25" t="str">
        <f>급여대장!D109</f>
        <v>자유롬</v>
      </c>
      <c r="D109" s="31">
        <f>직원정보!I13</f>
        <v>1</v>
      </c>
      <c r="E109" s="29">
        <f>급여대장!V109</f>
        <v>4836824</v>
      </c>
      <c r="F109" s="26">
        <f t="shared" si="10"/>
        <v>58041888</v>
      </c>
      <c r="G109" s="26">
        <f t="shared" si="11"/>
        <v>12652094.4</v>
      </c>
      <c r="H109" s="26">
        <f t="shared" si="12"/>
        <v>45389793.600000001</v>
      </c>
      <c r="I109" s="26">
        <f>D109*요율기준!$B$13</f>
        <v>1500000</v>
      </c>
      <c r="J109" s="29">
        <f>'4대보험'!F109*12</f>
        <v>2611800</v>
      </c>
      <c r="K109" s="26">
        <f t="shared" si="13"/>
        <v>5421675.5199999996</v>
      </c>
      <c r="L109" s="26">
        <f t="shared" si="14"/>
        <v>35856318.079999998</v>
      </c>
      <c r="M109" s="26">
        <f t="shared" si="15"/>
        <v>4118447.7119999998</v>
      </c>
      <c r="N109" s="26">
        <f t="shared" si="16"/>
        <v>660000</v>
      </c>
      <c r="O109" s="26">
        <f t="shared" si="17"/>
        <v>3458447.7119999998</v>
      </c>
      <c r="P109" s="28">
        <f t="shared" si="18"/>
        <v>288200</v>
      </c>
      <c r="Q109" s="28">
        <f>TRUNC(P109*요율기준!$B$12,-1)</f>
        <v>28820</v>
      </c>
      <c r="R109" s="28">
        <f t="shared" si="19"/>
        <v>317020</v>
      </c>
    </row>
    <row r="110" spans="1:18" x14ac:dyDescent="0.4">
      <c r="A110" s="30">
        <f>급여대장!A110</f>
        <v>46296</v>
      </c>
      <c r="B110" s="17">
        <v>9</v>
      </c>
      <c r="C110" s="25" t="str">
        <f>급여대장!D110</f>
        <v>자유롬</v>
      </c>
      <c r="D110" s="31">
        <f>직원정보!I13</f>
        <v>1</v>
      </c>
      <c r="E110" s="29">
        <f>급여대장!V110</f>
        <v>4987538</v>
      </c>
      <c r="F110" s="26">
        <f t="shared" si="10"/>
        <v>59850456</v>
      </c>
      <c r="G110" s="26">
        <f t="shared" si="11"/>
        <v>12742522.800000001</v>
      </c>
      <c r="H110" s="26">
        <f t="shared" si="12"/>
        <v>47107933.200000003</v>
      </c>
      <c r="I110" s="26">
        <f>D110*요율기준!$B$13</f>
        <v>1500000</v>
      </c>
      <c r="J110" s="29">
        <f>'4대보험'!F110*12</f>
        <v>2693160</v>
      </c>
      <c r="K110" s="26">
        <f t="shared" si="13"/>
        <v>5494018.2400000002</v>
      </c>
      <c r="L110" s="26">
        <f t="shared" si="14"/>
        <v>37420754.960000001</v>
      </c>
      <c r="M110" s="26">
        <f t="shared" si="15"/>
        <v>4353113.2439999999</v>
      </c>
      <c r="N110" s="26">
        <f t="shared" si="16"/>
        <v>660000</v>
      </c>
      <c r="O110" s="26">
        <f t="shared" si="17"/>
        <v>3693113.2439999999</v>
      </c>
      <c r="P110" s="28">
        <f t="shared" si="18"/>
        <v>307750</v>
      </c>
      <c r="Q110" s="28">
        <f>TRUNC(P110*요율기준!$B$12,-1)</f>
        <v>30770</v>
      </c>
      <c r="R110" s="28">
        <f t="shared" si="19"/>
        <v>338520</v>
      </c>
    </row>
    <row r="111" spans="1:18" x14ac:dyDescent="0.4">
      <c r="A111" s="30">
        <f>급여대장!A111</f>
        <v>46327</v>
      </c>
      <c r="B111" s="17">
        <v>9</v>
      </c>
      <c r="C111" s="25" t="str">
        <f>급여대장!D111</f>
        <v>자유롬</v>
      </c>
      <c r="D111" s="31">
        <f>직원정보!I13</f>
        <v>1</v>
      </c>
      <c r="E111" s="29">
        <f>급여대장!V111</f>
        <v>4409801</v>
      </c>
      <c r="F111" s="26">
        <f t="shared" si="10"/>
        <v>52917612</v>
      </c>
      <c r="G111" s="26">
        <f t="shared" si="11"/>
        <v>12395880.6</v>
      </c>
      <c r="H111" s="26">
        <f t="shared" si="12"/>
        <v>40521731.399999999</v>
      </c>
      <c r="I111" s="26">
        <f>D111*요율기준!$B$13</f>
        <v>1500000</v>
      </c>
      <c r="J111" s="29">
        <f>'4대보험'!F111*12</f>
        <v>2381280</v>
      </c>
      <c r="K111" s="26">
        <f t="shared" si="13"/>
        <v>5216704.4800000004</v>
      </c>
      <c r="L111" s="26">
        <f t="shared" si="14"/>
        <v>31423746.919999998</v>
      </c>
      <c r="M111" s="26">
        <f t="shared" si="15"/>
        <v>3453562.0379999997</v>
      </c>
      <c r="N111" s="26">
        <f t="shared" si="16"/>
        <v>660000</v>
      </c>
      <c r="O111" s="26">
        <f t="shared" si="17"/>
        <v>2793562.0379999997</v>
      </c>
      <c r="P111" s="28">
        <f t="shared" si="18"/>
        <v>232790</v>
      </c>
      <c r="Q111" s="28">
        <f>TRUNC(P111*요율기준!$B$12,-1)</f>
        <v>23270</v>
      </c>
      <c r="R111" s="28">
        <f t="shared" si="19"/>
        <v>256060</v>
      </c>
    </row>
    <row r="112" spans="1:18" x14ac:dyDescent="0.4">
      <c r="A112" s="30">
        <f>급여대장!A112</f>
        <v>46357</v>
      </c>
      <c r="B112" s="17">
        <v>9</v>
      </c>
      <c r="C112" s="25" t="str">
        <f>급여대장!D112</f>
        <v>자유롬</v>
      </c>
      <c r="D112" s="31">
        <f>직원정보!I13</f>
        <v>1</v>
      </c>
      <c r="E112" s="29">
        <f>급여대장!V112</f>
        <v>4560515</v>
      </c>
      <c r="F112" s="26">
        <f t="shared" si="10"/>
        <v>54726180</v>
      </c>
      <c r="G112" s="26">
        <f t="shared" si="11"/>
        <v>12486309</v>
      </c>
      <c r="H112" s="26">
        <f t="shared" si="12"/>
        <v>42239871</v>
      </c>
      <c r="I112" s="26">
        <f>D112*요율기준!$B$13</f>
        <v>1500000</v>
      </c>
      <c r="J112" s="29">
        <f>'4대보험'!F112*12</f>
        <v>2462640</v>
      </c>
      <c r="K112" s="26">
        <f t="shared" si="13"/>
        <v>5289047.2</v>
      </c>
      <c r="L112" s="26">
        <f t="shared" si="14"/>
        <v>32988183.800000001</v>
      </c>
      <c r="M112" s="26">
        <f t="shared" si="15"/>
        <v>3688227.57</v>
      </c>
      <c r="N112" s="26">
        <f t="shared" si="16"/>
        <v>660000</v>
      </c>
      <c r="O112" s="26">
        <f t="shared" si="17"/>
        <v>3028227.57</v>
      </c>
      <c r="P112" s="28">
        <f t="shared" si="18"/>
        <v>252350</v>
      </c>
      <c r="Q112" s="28">
        <f>TRUNC(P112*요율기준!$B$12,-1)</f>
        <v>25230</v>
      </c>
      <c r="R112" s="28">
        <f t="shared" si="19"/>
        <v>277580</v>
      </c>
    </row>
    <row r="113" spans="1:18" x14ac:dyDescent="0.4">
      <c r="A113" s="30">
        <f>급여대장!A113</f>
        <v>46023</v>
      </c>
      <c r="B113" s="17">
        <v>10</v>
      </c>
      <c r="C113" s="25" t="str">
        <f>급여대장!D113</f>
        <v>차분해</v>
      </c>
      <c r="D113" s="31">
        <f>직원정보!I14</f>
        <v>1</v>
      </c>
      <c r="E113" s="29">
        <f>급여대장!V113</f>
        <v>4452142</v>
      </c>
      <c r="F113" s="26">
        <f t="shared" si="10"/>
        <v>53425704</v>
      </c>
      <c r="G113" s="26">
        <f t="shared" si="11"/>
        <v>12421285.199999999</v>
      </c>
      <c r="H113" s="26">
        <f t="shared" si="12"/>
        <v>41004418.799999997</v>
      </c>
      <c r="I113" s="26">
        <f>D113*요율기준!$B$13</f>
        <v>1500000</v>
      </c>
      <c r="J113" s="29">
        <f>'4대보험'!F113*12</f>
        <v>2404080</v>
      </c>
      <c r="K113" s="26">
        <f t="shared" si="13"/>
        <v>5237028.16</v>
      </c>
      <c r="L113" s="26">
        <f t="shared" si="14"/>
        <v>31863310.639999997</v>
      </c>
      <c r="M113" s="26">
        <f t="shared" si="15"/>
        <v>3519496.5959999994</v>
      </c>
      <c r="N113" s="26">
        <f t="shared" si="16"/>
        <v>660000</v>
      </c>
      <c r="O113" s="26">
        <f t="shared" si="17"/>
        <v>2859496.5959999994</v>
      </c>
      <c r="P113" s="28">
        <f t="shared" si="18"/>
        <v>238290</v>
      </c>
      <c r="Q113" s="28">
        <f>TRUNC(P113*요율기준!$B$12,-1)</f>
        <v>23820</v>
      </c>
      <c r="R113" s="28">
        <f t="shared" si="19"/>
        <v>262110</v>
      </c>
    </row>
    <row r="114" spans="1:18" x14ac:dyDescent="0.4">
      <c r="A114" s="30">
        <f>급여대장!A114</f>
        <v>46054</v>
      </c>
      <c r="B114" s="17">
        <v>10</v>
      </c>
      <c r="C114" s="25" t="str">
        <f>급여대장!D114</f>
        <v>차분해</v>
      </c>
      <c r="D114" s="31">
        <f>직원정보!I14</f>
        <v>1</v>
      </c>
      <c r="E114" s="29">
        <f>급여대장!V114</f>
        <v>4502380</v>
      </c>
      <c r="F114" s="26">
        <f t="shared" si="10"/>
        <v>54028560</v>
      </c>
      <c r="G114" s="26">
        <f t="shared" si="11"/>
        <v>12451428</v>
      </c>
      <c r="H114" s="26">
        <f t="shared" si="12"/>
        <v>41577132</v>
      </c>
      <c r="I114" s="26">
        <f>D114*요율기준!$B$13</f>
        <v>1500000</v>
      </c>
      <c r="J114" s="29">
        <f>'4대보험'!F114*12</f>
        <v>2431200</v>
      </c>
      <c r="K114" s="26">
        <f t="shared" si="13"/>
        <v>5261142.4000000004</v>
      </c>
      <c r="L114" s="26">
        <f t="shared" si="14"/>
        <v>32384789.600000001</v>
      </c>
      <c r="M114" s="26">
        <f t="shared" si="15"/>
        <v>3597718.44</v>
      </c>
      <c r="N114" s="26">
        <f t="shared" si="16"/>
        <v>660000</v>
      </c>
      <c r="O114" s="26">
        <f t="shared" si="17"/>
        <v>2937718.44</v>
      </c>
      <c r="P114" s="28">
        <f t="shared" si="18"/>
        <v>244800</v>
      </c>
      <c r="Q114" s="28">
        <f>TRUNC(P114*요율기준!$B$12,-1)</f>
        <v>24480</v>
      </c>
      <c r="R114" s="28">
        <f t="shared" si="19"/>
        <v>269280</v>
      </c>
    </row>
    <row r="115" spans="1:18" x14ac:dyDescent="0.4">
      <c r="A115" s="30">
        <f>급여대장!A115</f>
        <v>46082</v>
      </c>
      <c r="B115" s="17">
        <v>10</v>
      </c>
      <c r="C115" s="25" t="str">
        <f>급여대장!D115</f>
        <v>차분해</v>
      </c>
      <c r="D115" s="31">
        <f>직원정보!I14</f>
        <v>1</v>
      </c>
      <c r="E115" s="29">
        <f>급여대장!V115</f>
        <v>4653094</v>
      </c>
      <c r="F115" s="26">
        <f t="shared" si="10"/>
        <v>55837128</v>
      </c>
      <c r="G115" s="26">
        <f t="shared" si="11"/>
        <v>12541856.4</v>
      </c>
      <c r="H115" s="26">
        <f t="shared" si="12"/>
        <v>43295271.600000001</v>
      </c>
      <c r="I115" s="26">
        <f>D115*요율기준!$B$13</f>
        <v>1500000</v>
      </c>
      <c r="J115" s="29">
        <f>'4대보험'!F115*12</f>
        <v>2512560</v>
      </c>
      <c r="K115" s="26">
        <f t="shared" si="13"/>
        <v>5333485.12</v>
      </c>
      <c r="L115" s="26">
        <f t="shared" si="14"/>
        <v>33949226.480000004</v>
      </c>
      <c r="M115" s="26">
        <f t="shared" si="15"/>
        <v>3832383.9720000005</v>
      </c>
      <c r="N115" s="26">
        <f t="shared" si="16"/>
        <v>660000</v>
      </c>
      <c r="O115" s="26">
        <f t="shared" si="17"/>
        <v>3172383.9720000005</v>
      </c>
      <c r="P115" s="28">
        <f t="shared" si="18"/>
        <v>264360</v>
      </c>
      <c r="Q115" s="28">
        <f>TRUNC(P115*요율기준!$B$12,-1)</f>
        <v>26430</v>
      </c>
      <c r="R115" s="28">
        <f t="shared" si="19"/>
        <v>290790</v>
      </c>
    </row>
    <row r="116" spans="1:18" x14ac:dyDescent="0.4">
      <c r="A116" s="30">
        <f>급여대장!A116</f>
        <v>46113</v>
      </c>
      <c r="B116" s="17">
        <v>10</v>
      </c>
      <c r="C116" s="25" t="str">
        <f>급여대장!D116</f>
        <v>차분해</v>
      </c>
      <c r="D116" s="31">
        <f>직원정보!I14</f>
        <v>1</v>
      </c>
      <c r="E116" s="29">
        <f>급여대장!V116</f>
        <v>4803808</v>
      </c>
      <c r="F116" s="26">
        <f t="shared" si="10"/>
        <v>57645696</v>
      </c>
      <c r="G116" s="26">
        <f t="shared" si="11"/>
        <v>12632284.800000001</v>
      </c>
      <c r="H116" s="26">
        <f t="shared" si="12"/>
        <v>45013411.200000003</v>
      </c>
      <c r="I116" s="26">
        <f>D116*요율기준!$B$13</f>
        <v>1500000</v>
      </c>
      <c r="J116" s="29">
        <f>'4대보험'!F116*12</f>
        <v>2594040</v>
      </c>
      <c r="K116" s="26">
        <f t="shared" si="13"/>
        <v>5405827.8399999999</v>
      </c>
      <c r="L116" s="26">
        <f t="shared" si="14"/>
        <v>35513543.359999999</v>
      </c>
      <c r="M116" s="26">
        <f t="shared" si="15"/>
        <v>4067031.5039999997</v>
      </c>
      <c r="N116" s="26">
        <f t="shared" si="16"/>
        <v>660000</v>
      </c>
      <c r="O116" s="26">
        <f t="shared" si="17"/>
        <v>3407031.5039999997</v>
      </c>
      <c r="P116" s="28">
        <f t="shared" si="18"/>
        <v>283910</v>
      </c>
      <c r="Q116" s="28">
        <f>TRUNC(P116*요율기준!$B$12,-1)</f>
        <v>28390</v>
      </c>
      <c r="R116" s="28">
        <f t="shared" si="19"/>
        <v>312300</v>
      </c>
    </row>
    <row r="117" spans="1:18" x14ac:dyDescent="0.4">
      <c r="A117" s="30">
        <f>급여대장!A117</f>
        <v>46143</v>
      </c>
      <c r="B117" s="17">
        <v>10</v>
      </c>
      <c r="C117" s="25" t="str">
        <f>급여대장!D117</f>
        <v>차분해</v>
      </c>
      <c r="D117" s="31">
        <f>직원정보!I14</f>
        <v>1</v>
      </c>
      <c r="E117" s="29">
        <f>급여대장!V117</f>
        <v>4326547</v>
      </c>
      <c r="F117" s="26">
        <f t="shared" si="10"/>
        <v>51918564</v>
      </c>
      <c r="G117" s="26">
        <f t="shared" si="11"/>
        <v>12345928.199999999</v>
      </c>
      <c r="H117" s="26">
        <f t="shared" si="12"/>
        <v>39572635.799999997</v>
      </c>
      <c r="I117" s="26">
        <f>D117*요율기준!$B$13</f>
        <v>1500000</v>
      </c>
      <c r="J117" s="29">
        <f>'4대보험'!F117*12</f>
        <v>2336280</v>
      </c>
      <c r="K117" s="26">
        <f t="shared" si="13"/>
        <v>5176742.5600000005</v>
      </c>
      <c r="L117" s="26">
        <f t="shared" si="14"/>
        <v>30559613.239999995</v>
      </c>
      <c r="M117" s="26">
        <f t="shared" si="15"/>
        <v>3323941.9859999991</v>
      </c>
      <c r="N117" s="26">
        <f t="shared" si="16"/>
        <v>660000</v>
      </c>
      <c r="O117" s="26">
        <f t="shared" si="17"/>
        <v>2663941.9859999991</v>
      </c>
      <c r="P117" s="28">
        <f t="shared" si="18"/>
        <v>221990</v>
      </c>
      <c r="Q117" s="28">
        <f>TRUNC(P117*요율기준!$B$12,-1)</f>
        <v>22190</v>
      </c>
      <c r="R117" s="28">
        <f t="shared" si="19"/>
        <v>244180</v>
      </c>
    </row>
    <row r="118" spans="1:18" x14ac:dyDescent="0.4">
      <c r="A118" s="30">
        <f>급여대장!A118</f>
        <v>46174</v>
      </c>
      <c r="B118" s="17">
        <v>10</v>
      </c>
      <c r="C118" s="25" t="str">
        <f>급여대장!D118</f>
        <v>차분해</v>
      </c>
      <c r="D118" s="31">
        <f>직원정보!I14</f>
        <v>1</v>
      </c>
      <c r="E118" s="29">
        <f>급여대장!V118</f>
        <v>4376785</v>
      </c>
      <c r="F118" s="26">
        <f t="shared" si="10"/>
        <v>52521420</v>
      </c>
      <c r="G118" s="26">
        <f t="shared" si="11"/>
        <v>12376071</v>
      </c>
      <c r="H118" s="26">
        <f t="shared" si="12"/>
        <v>40145349</v>
      </c>
      <c r="I118" s="26">
        <f>D118*요율기준!$B$13</f>
        <v>1500000</v>
      </c>
      <c r="J118" s="29">
        <f>'4대보험'!F118*12</f>
        <v>2363400</v>
      </c>
      <c r="K118" s="26">
        <f t="shared" si="13"/>
        <v>5200856.8</v>
      </c>
      <c r="L118" s="26">
        <f t="shared" si="14"/>
        <v>31081092.199999999</v>
      </c>
      <c r="M118" s="26">
        <f t="shared" si="15"/>
        <v>3402163.8299999996</v>
      </c>
      <c r="N118" s="26">
        <f t="shared" si="16"/>
        <v>660000</v>
      </c>
      <c r="O118" s="26">
        <f t="shared" si="17"/>
        <v>2742163.8299999996</v>
      </c>
      <c r="P118" s="28">
        <f t="shared" si="18"/>
        <v>228510</v>
      </c>
      <c r="Q118" s="28">
        <f>TRUNC(P118*요율기준!$B$12,-1)</f>
        <v>22850</v>
      </c>
      <c r="R118" s="28">
        <f t="shared" si="19"/>
        <v>251360</v>
      </c>
    </row>
    <row r="119" spans="1:18" x14ac:dyDescent="0.4">
      <c r="A119" s="30">
        <f>급여대장!A119</f>
        <v>46204</v>
      </c>
      <c r="B119" s="17">
        <v>10</v>
      </c>
      <c r="C119" s="25" t="str">
        <f>급여대장!D119</f>
        <v>차분해</v>
      </c>
      <c r="D119" s="31">
        <f>직원정보!I14</f>
        <v>1</v>
      </c>
      <c r="E119" s="29">
        <f>급여대장!V119</f>
        <v>4527499</v>
      </c>
      <c r="F119" s="26">
        <f t="shared" si="10"/>
        <v>54329988</v>
      </c>
      <c r="G119" s="26">
        <f t="shared" si="11"/>
        <v>12466499.4</v>
      </c>
      <c r="H119" s="26">
        <f t="shared" si="12"/>
        <v>41863488.600000001</v>
      </c>
      <c r="I119" s="26">
        <f>D119*요율기준!$B$13</f>
        <v>1500000</v>
      </c>
      <c r="J119" s="29">
        <f>'4대보험'!F119*12</f>
        <v>2444760</v>
      </c>
      <c r="K119" s="26">
        <f t="shared" si="13"/>
        <v>5273199.5199999996</v>
      </c>
      <c r="L119" s="26">
        <f t="shared" si="14"/>
        <v>32645529.080000002</v>
      </c>
      <c r="M119" s="26">
        <f t="shared" si="15"/>
        <v>3636829.3620000002</v>
      </c>
      <c r="N119" s="26">
        <f t="shared" si="16"/>
        <v>660000</v>
      </c>
      <c r="O119" s="26">
        <f t="shared" si="17"/>
        <v>2976829.3620000002</v>
      </c>
      <c r="P119" s="28">
        <f t="shared" si="18"/>
        <v>248060</v>
      </c>
      <c r="Q119" s="28">
        <f>TRUNC(P119*요율기준!$B$12,-1)</f>
        <v>24800</v>
      </c>
      <c r="R119" s="28">
        <f t="shared" si="19"/>
        <v>272860</v>
      </c>
    </row>
    <row r="120" spans="1:18" x14ac:dyDescent="0.4">
      <c r="A120" s="30">
        <f>급여대장!A120</f>
        <v>46235</v>
      </c>
      <c r="B120" s="17">
        <v>10</v>
      </c>
      <c r="C120" s="25" t="str">
        <f>급여대장!D120</f>
        <v>차분해</v>
      </c>
      <c r="D120" s="31">
        <f>직원정보!I14</f>
        <v>1</v>
      </c>
      <c r="E120" s="29">
        <f>급여대장!V120</f>
        <v>4678213</v>
      </c>
      <c r="F120" s="26">
        <f t="shared" si="10"/>
        <v>56138556</v>
      </c>
      <c r="G120" s="26">
        <f t="shared" si="11"/>
        <v>12556927.800000001</v>
      </c>
      <c r="H120" s="26">
        <f t="shared" si="12"/>
        <v>43581628.200000003</v>
      </c>
      <c r="I120" s="26">
        <f>D120*요율기준!$B$13</f>
        <v>1500000</v>
      </c>
      <c r="J120" s="29">
        <f>'4대보험'!F120*12</f>
        <v>2526120</v>
      </c>
      <c r="K120" s="26">
        <f t="shared" si="13"/>
        <v>5345542.24</v>
      </c>
      <c r="L120" s="26">
        <f t="shared" si="14"/>
        <v>34209965.960000001</v>
      </c>
      <c r="M120" s="26">
        <f t="shared" si="15"/>
        <v>3871494.8939999999</v>
      </c>
      <c r="N120" s="26">
        <f t="shared" si="16"/>
        <v>660000</v>
      </c>
      <c r="O120" s="26">
        <f t="shared" si="17"/>
        <v>3211494.8939999999</v>
      </c>
      <c r="P120" s="28">
        <f t="shared" si="18"/>
        <v>267620</v>
      </c>
      <c r="Q120" s="28">
        <f>TRUNC(P120*요율기준!$B$12,-1)</f>
        <v>26760</v>
      </c>
      <c r="R120" s="28">
        <f t="shared" si="19"/>
        <v>294380</v>
      </c>
    </row>
    <row r="121" spans="1:18" x14ac:dyDescent="0.4">
      <c r="A121" s="30">
        <f>급여대장!A121</f>
        <v>46266</v>
      </c>
      <c r="B121" s="17">
        <v>10</v>
      </c>
      <c r="C121" s="25" t="str">
        <f>급여대장!D121</f>
        <v>차분해</v>
      </c>
      <c r="D121" s="31">
        <f>직원정보!I14</f>
        <v>1</v>
      </c>
      <c r="E121" s="29">
        <f>급여대장!V121</f>
        <v>4828927</v>
      </c>
      <c r="F121" s="26">
        <f t="shared" si="10"/>
        <v>57947124</v>
      </c>
      <c r="G121" s="26">
        <f t="shared" si="11"/>
        <v>12647356.199999999</v>
      </c>
      <c r="H121" s="26">
        <f t="shared" si="12"/>
        <v>45299767.799999997</v>
      </c>
      <c r="I121" s="26">
        <f>D121*요율기준!$B$13</f>
        <v>1500000</v>
      </c>
      <c r="J121" s="29">
        <f>'4대보험'!F121*12</f>
        <v>2607600</v>
      </c>
      <c r="K121" s="26">
        <f t="shared" si="13"/>
        <v>5417884.96</v>
      </c>
      <c r="L121" s="26">
        <f t="shared" si="14"/>
        <v>35774282.839999996</v>
      </c>
      <c r="M121" s="26">
        <f t="shared" si="15"/>
        <v>4106142.4259999995</v>
      </c>
      <c r="N121" s="26">
        <f t="shared" si="16"/>
        <v>660000</v>
      </c>
      <c r="O121" s="26">
        <f t="shared" si="17"/>
        <v>3446142.4259999995</v>
      </c>
      <c r="P121" s="28">
        <f t="shared" si="18"/>
        <v>287170</v>
      </c>
      <c r="Q121" s="28">
        <f>TRUNC(P121*요율기준!$B$12,-1)</f>
        <v>28710</v>
      </c>
      <c r="R121" s="28">
        <f t="shared" si="19"/>
        <v>315880</v>
      </c>
    </row>
    <row r="122" spans="1:18" x14ac:dyDescent="0.4">
      <c r="A122" s="30">
        <f>급여대장!A122</f>
        <v>46296</v>
      </c>
      <c r="B122" s="17">
        <v>10</v>
      </c>
      <c r="C122" s="25" t="str">
        <f>급여대장!D122</f>
        <v>차분해</v>
      </c>
      <c r="D122" s="31">
        <f>직원정보!I14</f>
        <v>1</v>
      </c>
      <c r="E122" s="29">
        <f>급여대장!V122</f>
        <v>4251190</v>
      </c>
      <c r="F122" s="26">
        <f t="shared" si="10"/>
        <v>51014280</v>
      </c>
      <c r="G122" s="26">
        <f t="shared" si="11"/>
        <v>12300714</v>
      </c>
      <c r="H122" s="26">
        <f t="shared" si="12"/>
        <v>38713566</v>
      </c>
      <c r="I122" s="26">
        <f>D122*요율기준!$B$13</f>
        <v>1500000</v>
      </c>
      <c r="J122" s="29">
        <f>'4대보험'!F122*12</f>
        <v>2295600</v>
      </c>
      <c r="K122" s="26">
        <f t="shared" si="13"/>
        <v>5140571.2</v>
      </c>
      <c r="L122" s="26">
        <f t="shared" si="14"/>
        <v>29777394.800000001</v>
      </c>
      <c r="M122" s="26">
        <f t="shared" si="15"/>
        <v>3206609.22</v>
      </c>
      <c r="N122" s="26">
        <f t="shared" si="16"/>
        <v>660000</v>
      </c>
      <c r="O122" s="26">
        <f t="shared" si="17"/>
        <v>2546609.2200000002</v>
      </c>
      <c r="P122" s="28">
        <f t="shared" si="18"/>
        <v>212210</v>
      </c>
      <c r="Q122" s="28">
        <f>TRUNC(P122*요율기준!$B$12,-1)</f>
        <v>21220</v>
      </c>
      <c r="R122" s="28">
        <f t="shared" si="19"/>
        <v>233430</v>
      </c>
    </row>
    <row r="123" spans="1:18" x14ac:dyDescent="0.4">
      <c r="A123" s="30">
        <f>급여대장!A123</f>
        <v>46327</v>
      </c>
      <c r="B123" s="17">
        <v>10</v>
      </c>
      <c r="C123" s="25" t="str">
        <f>급여대장!D123</f>
        <v>차분해</v>
      </c>
      <c r="D123" s="31">
        <f>직원정보!I14</f>
        <v>1</v>
      </c>
      <c r="E123" s="29">
        <f>급여대장!V123</f>
        <v>4401904</v>
      </c>
      <c r="F123" s="26">
        <f t="shared" si="10"/>
        <v>52822848</v>
      </c>
      <c r="G123" s="26">
        <f t="shared" si="11"/>
        <v>12391142.4</v>
      </c>
      <c r="H123" s="26">
        <f t="shared" si="12"/>
        <v>40431705.600000001</v>
      </c>
      <c r="I123" s="26">
        <f>D123*요율기준!$B$13</f>
        <v>1500000</v>
      </c>
      <c r="J123" s="29">
        <f>'4대보험'!F123*12</f>
        <v>2376960</v>
      </c>
      <c r="K123" s="26">
        <f t="shared" si="13"/>
        <v>5212913.92</v>
      </c>
      <c r="L123" s="26">
        <f t="shared" si="14"/>
        <v>31341831.68</v>
      </c>
      <c r="M123" s="26">
        <f t="shared" si="15"/>
        <v>3441274.7519999999</v>
      </c>
      <c r="N123" s="26">
        <f t="shared" si="16"/>
        <v>660000</v>
      </c>
      <c r="O123" s="26">
        <f t="shared" si="17"/>
        <v>2781274.7519999999</v>
      </c>
      <c r="P123" s="28">
        <f t="shared" si="18"/>
        <v>231770</v>
      </c>
      <c r="Q123" s="28">
        <f>TRUNC(P123*요율기준!$B$12,-1)</f>
        <v>23170</v>
      </c>
      <c r="R123" s="28">
        <f t="shared" si="19"/>
        <v>254940</v>
      </c>
    </row>
    <row r="124" spans="1:18" x14ac:dyDescent="0.4">
      <c r="A124" s="30">
        <f>급여대장!A124</f>
        <v>46357</v>
      </c>
      <c r="B124" s="17">
        <v>10</v>
      </c>
      <c r="C124" s="25" t="str">
        <f>급여대장!D124</f>
        <v>차분해</v>
      </c>
      <c r="D124" s="31">
        <f>직원정보!I14</f>
        <v>1</v>
      </c>
      <c r="E124" s="29">
        <f>급여대장!V124</f>
        <v>4552618</v>
      </c>
      <c r="F124" s="26">
        <f t="shared" si="10"/>
        <v>54631416</v>
      </c>
      <c r="G124" s="26">
        <f t="shared" si="11"/>
        <v>12481570.800000001</v>
      </c>
      <c r="H124" s="26">
        <f t="shared" si="12"/>
        <v>42149845.200000003</v>
      </c>
      <c r="I124" s="26">
        <f>D124*요율기준!$B$13</f>
        <v>1500000</v>
      </c>
      <c r="J124" s="29">
        <f>'4대보험'!F124*12</f>
        <v>2458320</v>
      </c>
      <c r="K124" s="26">
        <f t="shared" si="13"/>
        <v>5285256.6400000006</v>
      </c>
      <c r="L124" s="26">
        <f t="shared" si="14"/>
        <v>32906268.560000002</v>
      </c>
      <c r="M124" s="26">
        <f t="shared" si="15"/>
        <v>3675940.2840000005</v>
      </c>
      <c r="N124" s="26">
        <f t="shared" si="16"/>
        <v>660000</v>
      </c>
      <c r="O124" s="26">
        <f t="shared" si="17"/>
        <v>3015940.2840000005</v>
      </c>
      <c r="P124" s="28">
        <f t="shared" si="18"/>
        <v>251320</v>
      </c>
      <c r="Q124" s="28">
        <f>TRUNC(P124*요율기준!$B$12,-1)</f>
        <v>25130</v>
      </c>
      <c r="R124" s="28">
        <f t="shared" si="19"/>
        <v>276450</v>
      </c>
    </row>
    <row r="125" spans="1:18" x14ac:dyDescent="0.4">
      <c r="A125" s="30">
        <f>급여대장!A125</f>
        <v>46023</v>
      </c>
      <c r="B125" s="17">
        <v>11</v>
      </c>
      <c r="C125" s="25" t="str">
        <f>급여대장!D125</f>
        <v>카랑찬</v>
      </c>
      <c r="D125" s="31">
        <f>직원정보!I15</f>
        <v>1</v>
      </c>
      <c r="E125" s="29">
        <f>급여대장!V125</f>
        <v>3992073</v>
      </c>
      <c r="F125" s="26">
        <f t="shared" si="10"/>
        <v>47904876</v>
      </c>
      <c r="G125" s="26">
        <f t="shared" si="11"/>
        <v>12145243.800000001</v>
      </c>
      <c r="H125" s="26">
        <f t="shared" si="12"/>
        <v>35759632.200000003</v>
      </c>
      <c r="I125" s="26">
        <f>D125*요율기준!$B$13</f>
        <v>1500000</v>
      </c>
      <c r="J125" s="29">
        <f>'4대보험'!F125*12</f>
        <v>2155680</v>
      </c>
      <c r="K125" s="26">
        <f t="shared" si="13"/>
        <v>5016195.04</v>
      </c>
      <c r="L125" s="26">
        <f t="shared" si="14"/>
        <v>27087757.160000004</v>
      </c>
      <c r="M125" s="26">
        <f t="shared" si="15"/>
        <v>2803163.5740000005</v>
      </c>
      <c r="N125" s="26">
        <f t="shared" si="16"/>
        <v>660000</v>
      </c>
      <c r="O125" s="26">
        <f t="shared" si="17"/>
        <v>2143163.5740000005</v>
      </c>
      <c r="P125" s="28">
        <f t="shared" si="18"/>
        <v>178590</v>
      </c>
      <c r="Q125" s="28">
        <f>TRUNC(P125*요율기준!$B$12,-1)</f>
        <v>17850</v>
      </c>
      <c r="R125" s="28">
        <f t="shared" si="19"/>
        <v>196440</v>
      </c>
    </row>
    <row r="126" spans="1:18" x14ac:dyDescent="0.4">
      <c r="A126" s="30">
        <f>급여대장!A126</f>
        <v>46054</v>
      </c>
      <c r="B126" s="17">
        <v>11</v>
      </c>
      <c r="C126" s="25" t="str">
        <f>급여대장!D126</f>
        <v>카랑찬</v>
      </c>
      <c r="D126" s="31">
        <f>직원정보!I15</f>
        <v>1</v>
      </c>
      <c r="E126" s="29">
        <f>급여대장!V126</f>
        <v>4036572</v>
      </c>
      <c r="F126" s="26">
        <f t="shared" si="10"/>
        <v>48438864</v>
      </c>
      <c r="G126" s="26">
        <f t="shared" si="11"/>
        <v>12171943.199999999</v>
      </c>
      <c r="H126" s="26">
        <f t="shared" si="12"/>
        <v>36266920.799999997</v>
      </c>
      <c r="I126" s="26">
        <f>D126*요율기준!$B$13</f>
        <v>1500000</v>
      </c>
      <c r="J126" s="29">
        <f>'4대보험'!F126*12</f>
        <v>2179680</v>
      </c>
      <c r="K126" s="26">
        <f t="shared" si="13"/>
        <v>5037554.5600000005</v>
      </c>
      <c r="L126" s="26">
        <f t="shared" si="14"/>
        <v>27549686.239999995</v>
      </c>
      <c r="M126" s="26">
        <f t="shared" si="15"/>
        <v>2872452.9359999988</v>
      </c>
      <c r="N126" s="26">
        <f t="shared" si="16"/>
        <v>660000</v>
      </c>
      <c r="O126" s="26">
        <f t="shared" si="17"/>
        <v>2212452.9359999988</v>
      </c>
      <c r="P126" s="28">
        <f t="shared" si="18"/>
        <v>184370</v>
      </c>
      <c r="Q126" s="28">
        <f>TRUNC(P126*요율기준!$B$12,-1)</f>
        <v>18430</v>
      </c>
      <c r="R126" s="28">
        <f t="shared" si="19"/>
        <v>202800</v>
      </c>
    </row>
    <row r="127" spans="1:18" x14ac:dyDescent="0.4">
      <c r="A127" s="30">
        <f>급여대장!A127</f>
        <v>46082</v>
      </c>
      <c r="B127" s="17">
        <v>11</v>
      </c>
      <c r="C127" s="25" t="str">
        <f>급여대장!D127</f>
        <v>카랑찬</v>
      </c>
      <c r="D127" s="31">
        <f>직원정보!I15</f>
        <v>1</v>
      </c>
      <c r="E127" s="29">
        <f>급여대장!V127</f>
        <v>4170069</v>
      </c>
      <c r="F127" s="26">
        <f t="shared" si="10"/>
        <v>50040828</v>
      </c>
      <c r="G127" s="26">
        <f t="shared" si="11"/>
        <v>12252041.4</v>
      </c>
      <c r="H127" s="26">
        <f t="shared" si="12"/>
        <v>37788786.600000001</v>
      </c>
      <c r="I127" s="26">
        <f>D127*요율기준!$B$13</f>
        <v>1500000</v>
      </c>
      <c r="J127" s="29">
        <f>'4대보험'!F127*12</f>
        <v>2251800</v>
      </c>
      <c r="K127" s="26">
        <f t="shared" si="13"/>
        <v>5101633.12</v>
      </c>
      <c r="L127" s="26">
        <f t="shared" si="14"/>
        <v>28935353.48</v>
      </c>
      <c r="M127" s="26">
        <f t="shared" si="15"/>
        <v>3080303.0219999999</v>
      </c>
      <c r="N127" s="26">
        <f t="shared" si="16"/>
        <v>660000</v>
      </c>
      <c r="O127" s="26">
        <f t="shared" si="17"/>
        <v>2420303.0219999999</v>
      </c>
      <c r="P127" s="28">
        <f t="shared" si="18"/>
        <v>201690</v>
      </c>
      <c r="Q127" s="28">
        <f>TRUNC(P127*요율기준!$B$12,-1)</f>
        <v>20160</v>
      </c>
      <c r="R127" s="28">
        <f t="shared" si="19"/>
        <v>221850</v>
      </c>
    </row>
    <row r="128" spans="1:18" x14ac:dyDescent="0.4">
      <c r="A128" s="30">
        <f>급여대장!A128</f>
        <v>46113</v>
      </c>
      <c r="B128" s="17">
        <v>11</v>
      </c>
      <c r="C128" s="25" t="str">
        <f>급여대장!D128</f>
        <v>카랑찬</v>
      </c>
      <c r="D128" s="31">
        <f>직원정보!I15</f>
        <v>1</v>
      </c>
      <c r="E128" s="29">
        <f>급여대장!V128</f>
        <v>3747328</v>
      </c>
      <c r="F128" s="26">
        <f t="shared" si="10"/>
        <v>44967936</v>
      </c>
      <c r="G128" s="26">
        <f t="shared" si="11"/>
        <v>11995190.399999999</v>
      </c>
      <c r="H128" s="26">
        <f t="shared" si="12"/>
        <v>32972745.600000001</v>
      </c>
      <c r="I128" s="26">
        <f>D128*요율기준!$B$13</f>
        <v>1500000</v>
      </c>
      <c r="J128" s="29">
        <f>'4대보험'!F128*12</f>
        <v>2023440</v>
      </c>
      <c r="K128" s="26">
        <f t="shared" si="13"/>
        <v>4898717.4399999995</v>
      </c>
      <c r="L128" s="26">
        <f t="shared" si="14"/>
        <v>24550588.160000004</v>
      </c>
      <c r="M128" s="26">
        <f t="shared" si="15"/>
        <v>2422588.2240000004</v>
      </c>
      <c r="N128" s="26">
        <f t="shared" si="16"/>
        <v>660000</v>
      </c>
      <c r="O128" s="26">
        <f t="shared" si="17"/>
        <v>1762588.2240000004</v>
      </c>
      <c r="P128" s="28">
        <f t="shared" si="18"/>
        <v>146880</v>
      </c>
      <c r="Q128" s="28">
        <f>TRUNC(P128*요율기준!$B$12,-1)</f>
        <v>14680</v>
      </c>
      <c r="R128" s="28">
        <f t="shared" si="19"/>
        <v>161560</v>
      </c>
    </row>
    <row r="129" spans="1:18" x14ac:dyDescent="0.4">
      <c r="A129" s="30">
        <f>급여대장!A129</f>
        <v>46143</v>
      </c>
      <c r="B129" s="17">
        <v>11</v>
      </c>
      <c r="C129" s="25" t="str">
        <f>급여대장!D129</f>
        <v>카랑찬</v>
      </c>
      <c r="D129" s="31">
        <f>직원정보!I15</f>
        <v>1</v>
      </c>
      <c r="E129" s="29">
        <f>급여대장!V129</f>
        <v>3880826</v>
      </c>
      <c r="F129" s="26">
        <f t="shared" si="10"/>
        <v>46569912</v>
      </c>
      <c r="G129" s="26">
        <f t="shared" si="11"/>
        <v>12078495.6</v>
      </c>
      <c r="H129" s="26">
        <f t="shared" si="12"/>
        <v>34491416.399999999</v>
      </c>
      <c r="I129" s="26">
        <f>D129*요율기준!$B$13</f>
        <v>1500000</v>
      </c>
      <c r="J129" s="29">
        <f>'4대보험'!F129*12</f>
        <v>2095560</v>
      </c>
      <c r="K129" s="26">
        <f t="shared" si="13"/>
        <v>4962796.4800000004</v>
      </c>
      <c r="L129" s="26">
        <f t="shared" si="14"/>
        <v>25933059.919999998</v>
      </c>
      <c r="M129" s="26">
        <f t="shared" si="15"/>
        <v>2629958.9879999999</v>
      </c>
      <c r="N129" s="26">
        <f t="shared" si="16"/>
        <v>660000</v>
      </c>
      <c r="O129" s="26">
        <f t="shared" si="17"/>
        <v>1969958.9879999999</v>
      </c>
      <c r="P129" s="28">
        <f t="shared" si="18"/>
        <v>164160</v>
      </c>
      <c r="Q129" s="28">
        <f>TRUNC(P129*요율기준!$B$12,-1)</f>
        <v>16410</v>
      </c>
      <c r="R129" s="28">
        <f t="shared" si="19"/>
        <v>180570</v>
      </c>
    </row>
    <row r="130" spans="1:18" x14ac:dyDescent="0.4">
      <c r="A130" s="30">
        <f>급여대장!A130</f>
        <v>46174</v>
      </c>
      <c r="B130" s="17">
        <v>11</v>
      </c>
      <c r="C130" s="25" t="str">
        <f>급여대장!D130</f>
        <v>카랑찬</v>
      </c>
      <c r="D130" s="31">
        <f>직원정보!I15</f>
        <v>1</v>
      </c>
      <c r="E130" s="29">
        <f>급여대장!V130</f>
        <v>3925324</v>
      </c>
      <c r="F130" s="26">
        <f t="shared" si="10"/>
        <v>47103888</v>
      </c>
      <c r="G130" s="26">
        <f t="shared" si="11"/>
        <v>12105194.4</v>
      </c>
      <c r="H130" s="26">
        <f t="shared" si="12"/>
        <v>34998693.600000001</v>
      </c>
      <c r="I130" s="26">
        <f>D130*요율기준!$B$13</f>
        <v>1500000</v>
      </c>
      <c r="J130" s="29">
        <f>'4대보험'!F130*12</f>
        <v>2119560</v>
      </c>
      <c r="K130" s="26">
        <f t="shared" si="13"/>
        <v>4984155.5199999996</v>
      </c>
      <c r="L130" s="26">
        <f t="shared" si="14"/>
        <v>26394978.080000002</v>
      </c>
      <c r="M130" s="26">
        <f t="shared" si="15"/>
        <v>2699246.7120000003</v>
      </c>
      <c r="N130" s="26">
        <f t="shared" si="16"/>
        <v>660000</v>
      </c>
      <c r="O130" s="26">
        <f t="shared" si="17"/>
        <v>2039246.7120000003</v>
      </c>
      <c r="P130" s="28">
        <f t="shared" si="18"/>
        <v>169930</v>
      </c>
      <c r="Q130" s="28">
        <f>TRUNC(P130*요율기준!$B$12,-1)</f>
        <v>16990</v>
      </c>
      <c r="R130" s="28">
        <f t="shared" si="19"/>
        <v>186920</v>
      </c>
    </row>
    <row r="131" spans="1:18" x14ac:dyDescent="0.4">
      <c r="A131" s="30">
        <f>급여대장!A131</f>
        <v>46204</v>
      </c>
      <c r="B131" s="17">
        <v>11</v>
      </c>
      <c r="C131" s="25" t="str">
        <f>급여대장!D131</f>
        <v>카랑찬</v>
      </c>
      <c r="D131" s="31">
        <f>직원정보!I15</f>
        <v>1</v>
      </c>
      <c r="E131" s="29">
        <f>급여대장!V131</f>
        <v>4058822</v>
      </c>
      <c r="F131" s="26">
        <f t="shared" si="10"/>
        <v>48705864</v>
      </c>
      <c r="G131" s="26">
        <f t="shared" si="11"/>
        <v>12185293.199999999</v>
      </c>
      <c r="H131" s="26">
        <f t="shared" si="12"/>
        <v>36520570.799999997</v>
      </c>
      <c r="I131" s="26">
        <f>D131*요율기준!$B$13</f>
        <v>1500000</v>
      </c>
      <c r="J131" s="29">
        <f>'4대보험'!F131*12</f>
        <v>2191680</v>
      </c>
      <c r="K131" s="26">
        <f t="shared" si="13"/>
        <v>5048234.5600000005</v>
      </c>
      <c r="L131" s="26">
        <f t="shared" si="14"/>
        <v>27780656.239999995</v>
      </c>
      <c r="M131" s="26">
        <f t="shared" si="15"/>
        <v>2907098.4359999988</v>
      </c>
      <c r="N131" s="26">
        <f t="shared" si="16"/>
        <v>660000</v>
      </c>
      <c r="O131" s="26">
        <f t="shared" si="17"/>
        <v>2247098.4359999988</v>
      </c>
      <c r="P131" s="28">
        <f t="shared" si="18"/>
        <v>187250</v>
      </c>
      <c r="Q131" s="28">
        <f>TRUNC(P131*요율기준!$B$12,-1)</f>
        <v>18720</v>
      </c>
      <c r="R131" s="28">
        <f t="shared" si="19"/>
        <v>205970</v>
      </c>
    </row>
    <row r="132" spans="1:18" x14ac:dyDescent="0.4">
      <c r="A132" s="30">
        <f>급여대장!A132</f>
        <v>46235</v>
      </c>
      <c r="B132" s="17">
        <v>11</v>
      </c>
      <c r="C132" s="25" t="str">
        <f>급여대장!D132</f>
        <v>카랑찬</v>
      </c>
      <c r="D132" s="31">
        <f>직원정보!I15</f>
        <v>1</v>
      </c>
      <c r="E132" s="29">
        <f>급여대장!V132</f>
        <v>4192318</v>
      </c>
      <c r="F132" s="26">
        <f t="shared" si="10"/>
        <v>50307816</v>
      </c>
      <c r="G132" s="26">
        <f t="shared" si="11"/>
        <v>12265390.800000001</v>
      </c>
      <c r="H132" s="26">
        <f t="shared" si="12"/>
        <v>38042425.200000003</v>
      </c>
      <c r="I132" s="26">
        <f>D132*요율기준!$B$13</f>
        <v>1500000</v>
      </c>
      <c r="J132" s="29">
        <f>'4대보험'!F132*12</f>
        <v>2263800</v>
      </c>
      <c r="K132" s="26">
        <f t="shared" si="13"/>
        <v>5112312.6400000006</v>
      </c>
      <c r="L132" s="26">
        <f t="shared" si="14"/>
        <v>29166312.560000002</v>
      </c>
      <c r="M132" s="26">
        <f t="shared" si="15"/>
        <v>3114946.8840000001</v>
      </c>
      <c r="N132" s="26">
        <f t="shared" si="16"/>
        <v>660000</v>
      </c>
      <c r="O132" s="26">
        <f t="shared" si="17"/>
        <v>2454946.8840000001</v>
      </c>
      <c r="P132" s="28">
        <f t="shared" si="18"/>
        <v>204570</v>
      </c>
      <c r="Q132" s="28">
        <f>TRUNC(P132*요율기준!$B$12,-1)</f>
        <v>20450</v>
      </c>
      <c r="R132" s="28">
        <f t="shared" si="19"/>
        <v>225020</v>
      </c>
    </row>
    <row r="133" spans="1:18" x14ac:dyDescent="0.4">
      <c r="A133" s="30">
        <f>급여대장!A133</f>
        <v>46266</v>
      </c>
      <c r="B133" s="17">
        <v>11</v>
      </c>
      <c r="C133" s="25" t="str">
        <f>급여대장!D133</f>
        <v>카랑찬</v>
      </c>
      <c r="D133" s="31">
        <f>직원정보!I15</f>
        <v>1</v>
      </c>
      <c r="E133" s="29">
        <f>급여대장!V133</f>
        <v>3769578</v>
      </c>
      <c r="F133" s="26">
        <f t="shared" ref="F133:F196" si="20">E133*12</f>
        <v>45234936</v>
      </c>
      <c r="G133" s="26">
        <f t="shared" ref="G133:G196" si="21">MIN(20000000,IF(F133&lt;=5000000,F133*0.7,IF(F133&lt;=15000000,3500000+(F133-5000000)*0.4,IF(F133&lt;=45000000,7500000+(F133-15000000)*0.15,IF(F133&lt;=100000000,12000000+(F133-45000000)*0.05,14750000+(F133-100000000)*0.02)))))</f>
        <v>12011746.800000001</v>
      </c>
      <c r="H133" s="26">
        <f t="shared" ref="H133:H196" si="22">F133-G133</f>
        <v>33223189.199999999</v>
      </c>
      <c r="I133" s="26">
        <f>D133*요율기준!$B$13</f>
        <v>1500000</v>
      </c>
      <c r="J133" s="29">
        <f>'4대보험'!F133*12</f>
        <v>2035560</v>
      </c>
      <c r="K133" s="26">
        <f t="shared" ref="K133:K196" si="23">IF(D133=1,3100000+F133*0.04,IF(D133=2,3600000+F133*0.04,5000000+F133*0.07))</f>
        <v>4909397.4399999995</v>
      </c>
      <c r="L133" s="26">
        <f t="shared" ref="L133:L196" si="24">MAX(0,H133-I133-J133-K133)</f>
        <v>24778231.759999998</v>
      </c>
      <c r="M133" s="26">
        <f t="shared" ref="M133:M196" si="25">IF(L133&lt;=14000000,L133*0.06,IF(L133&lt;=50000000,840000+(L133-14000000)*0.15,IF(L133&lt;=88000000,6240000+(L133-50000000)*0.24,IF(L133&lt;=150000000,15360000+(L133-88000000)*0.35,IF(L133&lt;=300000000,37060000+(L133-150000000)*0.38,IF(L133&lt;=500000000,94060000+(L133-300000000)*0.4,IF(L133&lt;=1000000000,174060000+(L133-500000000)*0.42,384060000+(L133-1000000000)*0.45)))))))</f>
        <v>2456734.7639999995</v>
      </c>
      <c r="N133" s="26">
        <f t="shared" ref="N133:N196" si="26">MIN(IF(M133&lt;=1300000,M133*0.55,715000+(M133-1300000)*0.3),IF(F133&lt;=33000000,740000,IF(F133&lt;=70000000,MAX(660000,740000-(F133-33000000)*0.008),MAX(500000,660000-(F133-70000000)*0.5))))</f>
        <v>660000</v>
      </c>
      <c r="O133" s="26">
        <f t="shared" ref="O133:O196" si="27">MAX(0,M133-N133)</f>
        <v>1796734.7639999995</v>
      </c>
      <c r="P133" s="28">
        <f t="shared" ref="P133:P196" si="28">TRUNC(O133/12,-1)</f>
        <v>149720</v>
      </c>
      <c r="Q133" s="28">
        <f>TRUNC(P133*요율기준!$B$12,-1)</f>
        <v>14970</v>
      </c>
      <c r="R133" s="28">
        <f t="shared" ref="R133:R196" si="29">P133+Q133</f>
        <v>164690</v>
      </c>
    </row>
    <row r="134" spans="1:18" x14ac:dyDescent="0.4">
      <c r="A134" s="30">
        <f>급여대장!A134</f>
        <v>46296</v>
      </c>
      <c r="B134" s="17">
        <v>11</v>
      </c>
      <c r="C134" s="25" t="str">
        <f>급여대장!D134</f>
        <v>카랑찬</v>
      </c>
      <c r="D134" s="31">
        <f>직원정보!I15</f>
        <v>1</v>
      </c>
      <c r="E134" s="29">
        <f>급여대장!V134</f>
        <v>3814077</v>
      </c>
      <c r="F134" s="26">
        <f t="shared" si="20"/>
        <v>45768924</v>
      </c>
      <c r="G134" s="26">
        <f t="shared" si="21"/>
        <v>12038446.199999999</v>
      </c>
      <c r="H134" s="26">
        <f t="shared" si="22"/>
        <v>33730477.799999997</v>
      </c>
      <c r="I134" s="26">
        <f>D134*요율기준!$B$13</f>
        <v>1500000</v>
      </c>
      <c r="J134" s="29">
        <f>'4대보험'!F134*12</f>
        <v>2059560</v>
      </c>
      <c r="K134" s="26">
        <f t="shared" si="23"/>
        <v>4930756.96</v>
      </c>
      <c r="L134" s="26">
        <f t="shared" si="24"/>
        <v>25240160.839999996</v>
      </c>
      <c r="M134" s="26">
        <f t="shared" si="25"/>
        <v>2526024.1259999992</v>
      </c>
      <c r="N134" s="26">
        <f t="shared" si="26"/>
        <v>660000</v>
      </c>
      <c r="O134" s="26">
        <f t="shared" si="27"/>
        <v>1866024.1259999992</v>
      </c>
      <c r="P134" s="28">
        <f t="shared" si="28"/>
        <v>155500</v>
      </c>
      <c r="Q134" s="28">
        <f>TRUNC(P134*요율기준!$B$12,-1)</f>
        <v>15550</v>
      </c>
      <c r="R134" s="28">
        <f t="shared" si="29"/>
        <v>171050</v>
      </c>
    </row>
    <row r="135" spans="1:18" x14ac:dyDescent="0.4">
      <c r="A135" s="30">
        <f>급여대장!A135</f>
        <v>46327</v>
      </c>
      <c r="B135" s="17">
        <v>11</v>
      </c>
      <c r="C135" s="25" t="str">
        <f>급여대장!D135</f>
        <v>카랑찬</v>
      </c>
      <c r="D135" s="31">
        <f>직원정보!I15</f>
        <v>1</v>
      </c>
      <c r="E135" s="29">
        <f>급여대장!V135</f>
        <v>3947574</v>
      </c>
      <c r="F135" s="26">
        <f t="shared" si="20"/>
        <v>47370888</v>
      </c>
      <c r="G135" s="26">
        <f t="shared" si="21"/>
        <v>12118544.4</v>
      </c>
      <c r="H135" s="26">
        <f t="shared" si="22"/>
        <v>35252343.600000001</v>
      </c>
      <c r="I135" s="26">
        <f>D135*요율기준!$B$13</f>
        <v>1500000</v>
      </c>
      <c r="J135" s="29">
        <f>'4대보험'!F135*12</f>
        <v>2131680</v>
      </c>
      <c r="K135" s="26">
        <f t="shared" si="23"/>
        <v>4994835.5199999996</v>
      </c>
      <c r="L135" s="26">
        <f t="shared" si="24"/>
        <v>26625828.080000002</v>
      </c>
      <c r="M135" s="26">
        <f t="shared" si="25"/>
        <v>2733874.2120000003</v>
      </c>
      <c r="N135" s="26">
        <f t="shared" si="26"/>
        <v>660000</v>
      </c>
      <c r="O135" s="26">
        <f t="shared" si="27"/>
        <v>2073874.2120000003</v>
      </c>
      <c r="P135" s="28">
        <f t="shared" si="28"/>
        <v>172820</v>
      </c>
      <c r="Q135" s="28">
        <f>TRUNC(P135*요율기준!$B$12,-1)</f>
        <v>17280</v>
      </c>
      <c r="R135" s="28">
        <f t="shared" si="29"/>
        <v>190100</v>
      </c>
    </row>
    <row r="136" spans="1:18" x14ac:dyDescent="0.4">
      <c r="A136" s="30">
        <f>급여대장!A136</f>
        <v>46357</v>
      </c>
      <c r="B136" s="17">
        <v>11</v>
      </c>
      <c r="C136" s="25" t="str">
        <f>급여대장!D136</f>
        <v>카랑찬</v>
      </c>
      <c r="D136" s="31">
        <f>직원정보!I15</f>
        <v>1</v>
      </c>
      <c r="E136" s="29">
        <f>급여대장!V136</f>
        <v>4081071</v>
      </c>
      <c r="F136" s="26">
        <f t="shared" si="20"/>
        <v>48972852</v>
      </c>
      <c r="G136" s="26">
        <f t="shared" si="21"/>
        <v>12198642.6</v>
      </c>
      <c r="H136" s="26">
        <f t="shared" si="22"/>
        <v>36774209.399999999</v>
      </c>
      <c r="I136" s="26">
        <f>D136*요율기준!$B$13</f>
        <v>1500000</v>
      </c>
      <c r="J136" s="29">
        <f>'4대보험'!F136*12</f>
        <v>2203680</v>
      </c>
      <c r="K136" s="26">
        <f t="shared" si="23"/>
        <v>5058914.08</v>
      </c>
      <c r="L136" s="26">
        <f t="shared" si="24"/>
        <v>28011615.32</v>
      </c>
      <c r="M136" s="26">
        <f t="shared" si="25"/>
        <v>2941742.298</v>
      </c>
      <c r="N136" s="26">
        <f t="shared" si="26"/>
        <v>660000</v>
      </c>
      <c r="O136" s="26">
        <f t="shared" si="27"/>
        <v>2281742.298</v>
      </c>
      <c r="P136" s="28">
        <f t="shared" si="28"/>
        <v>190140</v>
      </c>
      <c r="Q136" s="28">
        <f>TRUNC(P136*요율기준!$B$12,-1)</f>
        <v>19010</v>
      </c>
      <c r="R136" s="28">
        <f t="shared" si="29"/>
        <v>209150</v>
      </c>
    </row>
    <row r="137" spans="1:18" x14ac:dyDescent="0.4">
      <c r="A137" s="30">
        <f>급여대장!A137</f>
        <v>46023</v>
      </c>
      <c r="B137" s="17">
        <v>12</v>
      </c>
      <c r="C137" s="25" t="str">
        <f>급여대장!D137</f>
        <v>타래솔</v>
      </c>
      <c r="D137" s="31">
        <f>직원정보!I16</f>
        <v>1</v>
      </c>
      <c r="E137" s="29">
        <f>급여대장!V137</f>
        <v>3959328</v>
      </c>
      <c r="F137" s="26">
        <f t="shared" si="20"/>
        <v>47511936</v>
      </c>
      <c r="G137" s="26">
        <f t="shared" si="21"/>
        <v>12125596.800000001</v>
      </c>
      <c r="H137" s="26">
        <f t="shared" si="22"/>
        <v>35386339.200000003</v>
      </c>
      <c r="I137" s="26">
        <f>D137*요율기준!$B$13</f>
        <v>1500000</v>
      </c>
      <c r="J137" s="29">
        <f>'4대보험'!F137*12</f>
        <v>2137920</v>
      </c>
      <c r="K137" s="26">
        <f t="shared" si="23"/>
        <v>5000477.4399999995</v>
      </c>
      <c r="L137" s="26">
        <f t="shared" si="24"/>
        <v>26747941.760000005</v>
      </c>
      <c r="M137" s="26">
        <f t="shared" si="25"/>
        <v>2752191.2640000004</v>
      </c>
      <c r="N137" s="26">
        <f t="shared" si="26"/>
        <v>660000</v>
      </c>
      <c r="O137" s="26">
        <f t="shared" si="27"/>
        <v>2092191.2640000004</v>
      </c>
      <c r="P137" s="28">
        <f t="shared" si="28"/>
        <v>174340</v>
      </c>
      <c r="Q137" s="28">
        <f>TRUNC(P137*요율기준!$B$12,-1)</f>
        <v>17430</v>
      </c>
      <c r="R137" s="28">
        <f t="shared" si="29"/>
        <v>191770</v>
      </c>
    </row>
    <row r="138" spans="1:18" x14ac:dyDescent="0.4">
      <c r="A138" s="30">
        <f>급여대장!A138</f>
        <v>46054</v>
      </c>
      <c r="B138" s="17">
        <v>12</v>
      </c>
      <c r="C138" s="25" t="str">
        <f>급여대장!D138</f>
        <v>타래솔</v>
      </c>
      <c r="D138" s="31">
        <f>직원정보!I16</f>
        <v>1</v>
      </c>
      <c r="E138" s="29">
        <f>급여대장!V138</f>
        <v>4088514</v>
      </c>
      <c r="F138" s="26">
        <f t="shared" si="20"/>
        <v>49062168</v>
      </c>
      <c r="G138" s="26">
        <f t="shared" si="21"/>
        <v>12203108.4</v>
      </c>
      <c r="H138" s="26">
        <f t="shared" si="22"/>
        <v>36859059.600000001</v>
      </c>
      <c r="I138" s="26">
        <f>D138*요율기준!$B$13</f>
        <v>1500000</v>
      </c>
      <c r="J138" s="29">
        <f>'4대보험'!F138*12</f>
        <v>2207760</v>
      </c>
      <c r="K138" s="26">
        <f t="shared" si="23"/>
        <v>5062486.72</v>
      </c>
      <c r="L138" s="26">
        <f t="shared" si="24"/>
        <v>28088812.880000003</v>
      </c>
      <c r="M138" s="26">
        <f t="shared" si="25"/>
        <v>2953321.9320000005</v>
      </c>
      <c r="N138" s="26">
        <f t="shared" si="26"/>
        <v>660000</v>
      </c>
      <c r="O138" s="26">
        <f t="shared" si="27"/>
        <v>2293321.9320000005</v>
      </c>
      <c r="P138" s="28">
        <f t="shared" si="28"/>
        <v>191110</v>
      </c>
      <c r="Q138" s="28">
        <f>TRUNC(P138*요율기준!$B$12,-1)</f>
        <v>19110</v>
      </c>
      <c r="R138" s="28">
        <f t="shared" si="29"/>
        <v>210220</v>
      </c>
    </row>
    <row r="139" spans="1:18" x14ac:dyDescent="0.4">
      <c r="A139" s="30">
        <f>급여대장!A139</f>
        <v>46082</v>
      </c>
      <c r="B139" s="17">
        <v>12</v>
      </c>
      <c r="C139" s="25" t="str">
        <f>급여대장!D139</f>
        <v>타래솔</v>
      </c>
      <c r="D139" s="31">
        <f>직원정보!I16</f>
        <v>1</v>
      </c>
      <c r="E139" s="29">
        <f>급여대장!V139</f>
        <v>4217700</v>
      </c>
      <c r="F139" s="26">
        <f t="shared" si="20"/>
        <v>50612400</v>
      </c>
      <c r="G139" s="26">
        <f t="shared" si="21"/>
        <v>12280620</v>
      </c>
      <c r="H139" s="26">
        <f t="shared" si="22"/>
        <v>38331780</v>
      </c>
      <c r="I139" s="26">
        <f>D139*요율기준!$B$13</f>
        <v>1500000</v>
      </c>
      <c r="J139" s="29">
        <f>'4대보험'!F139*12</f>
        <v>2277480</v>
      </c>
      <c r="K139" s="26">
        <f t="shared" si="23"/>
        <v>5124496</v>
      </c>
      <c r="L139" s="26">
        <f t="shared" si="24"/>
        <v>29429804</v>
      </c>
      <c r="M139" s="26">
        <f t="shared" si="25"/>
        <v>3154470.6</v>
      </c>
      <c r="N139" s="26">
        <f t="shared" si="26"/>
        <v>660000</v>
      </c>
      <c r="O139" s="26">
        <f t="shared" si="27"/>
        <v>2494470.6</v>
      </c>
      <c r="P139" s="28">
        <f t="shared" si="28"/>
        <v>207870</v>
      </c>
      <c r="Q139" s="28">
        <f>TRUNC(P139*요율기준!$B$12,-1)</f>
        <v>20780</v>
      </c>
      <c r="R139" s="28">
        <f t="shared" si="29"/>
        <v>228650</v>
      </c>
    </row>
    <row r="140" spans="1:18" x14ac:dyDescent="0.4">
      <c r="A140" s="30">
        <f>급여대장!A140</f>
        <v>46113</v>
      </c>
      <c r="B140" s="17">
        <v>12</v>
      </c>
      <c r="C140" s="25" t="str">
        <f>급여대장!D140</f>
        <v>타래솔</v>
      </c>
      <c r="D140" s="31">
        <f>직원정보!I16</f>
        <v>1</v>
      </c>
      <c r="E140" s="29">
        <f>급여대장!V140</f>
        <v>3808611</v>
      </c>
      <c r="F140" s="26">
        <f t="shared" si="20"/>
        <v>45703332</v>
      </c>
      <c r="G140" s="26">
        <f t="shared" si="21"/>
        <v>12035166.6</v>
      </c>
      <c r="H140" s="26">
        <f t="shared" si="22"/>
        <v>33668165.399999999</v>
      </c>
      <c r="I140" s="26">
        <f>D140*요율기준!$B$13</f>
        <v>1500000</v>
      </c>
      <c r="J140" s="29">
        <f>'4대보험'!F140*12</f>
        <v>2056560</v>
      </c>
      <c r="K140" s="26">
        <f t="shared" si="23"/>
        <v>4928133.28</v>
      </c>
      <c r="L140" s="26">
        <f t="shared" si="24"/>
        <v>25183472.119999997</v>
      </c>
      <c r="M140" s="26">
        <f t="shared" si="25"/>
        <v>2517520.8179999995</v>
      </c>
      <c r="N140" s="26">
        <f t="shared" si="26"/>
        <v>660000</v>
      </c>
      <c r="O140" s="26">
        <f t="shared" si="27"/>
        <v>1857520.8179999995</v>
      </c>
      <c r="P140" s="28">
        <f t="shared" si="28"/>
        <v>154790</v>
      </c>
      <c r="Q140" s="28">
        <f>TRUNC(P140*요율기준!$B$12,-1)</f>
        <v>15470</v>
      </c>
      <c r="R140" s="28">
        <f t="shared" si="29"/>
        <v>170260</v>
      </c>
    </row>
    <row r="141" spans="1:18" x14ac:dyDescent="0.4">
      <c r="A141" s="30">
        <f>급여대장!A141</f>
        <v>46143</v>
      </c>
      <c r="B141" s="17">
        <v>12</v>
      </c>
      <c r="C141" s="25" t="str">
        <f>급여대장!D141</f>
        <v>타래솔</v>
      </c>
      <c r="D141" s="31">
        <f>직원정보!I16</f>
        <v>1</v>
      </c>
      <c r="E141" s="29">
        <f>급여대장!V141</f>
        <v>3851673</v>
      </c>
      <c r="F141" s="26">
        <f t="shared" si="20"/>
        <v>46220076</v>
      </c>
      <c r="G141" s="26">
        <f t="shared" si="21"/>
        <v>12061003.800000001</v>
      </c>
      <c r="H141" s="26">
        <f t="shared" si="22"/>
        <v>34159072.200000003</v>
      </c>
      <c r="I141" s="26">
        <f>D141*요율기준!$B$13</f>
        <v>1500000</v>
      </c>
      <c r="J141" s="29">
        <f>'4대보험'!F141*12</f>
        <v>2079840</v>
      </c>
      <c r="K141" s="26">
        <f t="shared" si="23"/>
        <v>4948803.04</v>
      </c>
      <c r="L141" s="26">
        <f t="shared" si="24"/>
        <v>25630429.160000004</v>
      </c>
      <c r="M141" s="26">
        <f t="shared" si="25"/>
        <v>2584564.3740000008</v>
      </c>
      <c r="N141" s="26">
        <f t="shared" si="26"/>
        <v>660000</v>
      </c>
      <c r="O141" s="26">
        <f t="shared" si="27"/>
        <v>1924564.3740000008</v>
      </c>
      <c r="P141" s="28">
        <f t="shared" si="28"/>
        <v>160380</v>
      </c>
      <c r="Q141" s="28">
        <f>TRUNC(P141*요율기준!$B$12,-1)</f>
        <v>16030</v>
      </c>
      <c r="R141" s="28">
        <f t="shared" si="29"/>
        <v>176410</v>
      </c>
    </row>
    <row r="142" spans="1:18" x14ac:dyDescent="0.4">
      <c r="A142" s="30">
        <f>급여대장!A142</f>
        <v>46174</v>
      </c>
      <c r="B142" s="17">
        <v>12</v>
      </c>
      <c r="C142" s="25" t="str">
        <f>급여대장!D142</f>
        <v>타래솔</v>
      </c>
      <c r="D142" s="31">
        <f>직원정보!I16</f>
        <v>1</v>
      </c>
      <c r="E142" s="29">
        <f>급여대장!V142</f>
        <v>3980859</v>
      </c>
      <c r="F142" s="26">
        <f t="shared" si="20"/>
        <v>47770308</v>
      </c>
      <c r="G142" s="26">
        <f t="shared" si="21"/>
        <v>12138515.4</v>
      </c>
      <c r="H142" s="26">
        <f t="shared" si="22"/>
        <v>35631792.600000001</v>
      </c>
      <c r="I142" s="26">
        <f>D142*요율기준!$B$13</f>
        <v>1500000</v>
      </c>
      <c r="J142" s="29">
        <f>'4대보험'!F142*12</f>
        <v>2149560</v>
      </c>
      <c r="K142" s="26">
        <f t="shared" si="23"/>
        <v>5010812.32</v>
      </c>
      <c r="L142" s="26">
        <f t="shared" si="24"/>
        <v>26971420.280000001</v>
      </c>
      <c r="M142" s="26">
        <f t="shared" si="25"/>
        <v>2785713.0420000004</v>
      </c>
      <c r="N142" s="26">
        <f t="shared" si="26"/>
        <v>660000</v>
      </c>
      <c r="O142" s="26">
        <f t="shared" si="27"/>
        <v>2125713.0420000004</v>
      </c>
      <c r="P142" s="28">
        <f t="shared" si="28"/>
        <v>177140</v>
      </c>
      <c r="Q142" s="28">
        <f>TRUNC(P142*요율기준!$B$12,-1)</f>
        <v>17710</v>
      </c>
      <c r="R142" s="28">
        <f t="shared" si="29"/>
        <v>194850</v>
      </c>
    </row>
    <row r="143" spans="1:18" x14ac:dyDescent="0.4">
      <c r="A143" s="30">
        <f>급여대장!A143</f>
        <v>46204</v>
      </c>
      <c r="B143" s="17">
        <v>12</v>
      </c>
      <c r="C143" s="25" t="str">
        <f>급여대장!D143</f>
        <v>타래솔</v>
      </c>
      <c r="D143" s="31">
        <f>직원정보!I16</f>
        <v>1</v>
      </c>
      <c r="E143" s="29">
        <f>급여대장!V143</f>
        <v>4110045</v>
      </c>
      <c r="F143" s="26">
        <f t="shared" si="20"/>
        <v>49320540</v>
      </c>
      <c r="G143" s="26">
        <f t="shared" si="21"/>
        <v>12216027</v>
      </c>
      <c r="H143" s="26">
        <f t="shared" si="22"/>
        <v>37104513</v>
      </c>
      <c r="I143" s="26">
        <f>D143*요율기준!$B$13</f>
        <v>1500000</v>
      </c>
      <c r="J143" s="29">
        <f>'4대보험'!F143*12</f>
        <v>2219400</v>
      </c>
      <c r="K143" s="26">
        <f t="shared" si="23"/>
        <v>5072821.5999999996</v>
      </c>
      <c r="L143" s="26">
        <f t="shared" si="24"/>
        <v>28312291.399999999</v>
      </c>
      <c r="M143" s="26">
        <f t="shared" si="25"/>
        <v>2986843.7099999995</v>
      </c>
      <c r="N143" s="26">
        <f t="shared" si="26"/>
        <v>660000</v>
      </c>
      <c r="O143" s="26">
        <f t="shared" si="27"/>
        <v>2326843.7099999995</v>
      </c>
      <c r="P143" s="28">
        <f t="shared" si="28"/>
        <v>193900</v>
      </c>
      <c r="Q143" s="28">
        <f>TRUNC(P143*요율기준!$B$12,-1)</f>
        <v>19390</v>
      </c>
      <c r="R143" s="28">
        <f t="shared" si="29"/>
        <v>213290</v>
      </c>
    </row>
    <row r="144" spans="1:18" x14ac:dyDescent="0.4">
      <c r="A144" s="30">
        <f>급여대장!A144</f>
        <v>46235</v>
      </c>
      <c r="B144" s="17">
        <v>12</v>
      </c>
      <c r="C144" s="25" t="str">
        <f>급여대장!D144</f>
        <v>타래솔</v>
      </c>
      <c r="D144" s="31">
        <f>직원정보!I16</f>
        <v>1</v>
      </c>
      <c r="E144" s="29">
        <f>급여대장!V144</f>
        <v>4239231</v>
      </c>
      <c r="F144" s="26">
        <f t="shared" si="20"/>
        <v>50870772</v>
      </c>
      <c r="G144" s="26">
        <f t="shared" si="21"/>
        <v>12293538.6</v>
      </c>
      <c r="H144" s="26">
        <f t="shared" si="22"/>
        <v>38577233.399999999</v>
      </c>
      <c r="I144" s="26">
        <f>D144*요율기준!$B$13</f>
        <v>1500000</v>
      </c>
      <c r="J144" s="29">
        <f>'4대보험'!F144*12</f>
        <v>2289120</v>
      </c>
      <c r="K144" s="26">
        <f t="shared" si="23"/>
        <v>5134830.88</v>
      </c>
      <c r="L144" s="26">
        <f t="shared" si="24"/>
        <v>29653282.52</v>
      </c>
      <c r="M144" s="26">
        <f t="shared" si="25"/>
        <v>3187992.378</v>
      </c>
      <c r="N144" s="26">
        <f t="shared" si="26"/>
        <v>660000</v>
      </c>
      <c r="O144" s="26">
        <f t="shared" si="27"/>
        <v>2527992.378</v>
      </c>
      <c r="P144" s="28">
        <f t="shared" si="28"/>
        <v>210660</v>
      </c>
      <c r="Q144" s="28">
        <f>TRUNC(P144*요율기준!$B$12,-1)</f>
        <v>21060</v>
      </c>
      <c r="R144" s="28">
        <f t="shared" si="29"/>
        <v>231720</v>
      </c>
    </row>
    <row r="145" spans="1:18" x14ac:dyDescent="0.4">
      <c r="A145" s="30">
        <f>급여대장!A145</f>
        <v>46266</v>
      </c>
      <c r="B145" s="17">
        <v>12</v>
      </c>
      <c r="C145" s="25" t="str">
        <f>급여대장!D145</f>
        <v>타래솔</v>
      </c>
      <c r="D145" s="31">
        <f>직원정보!I16</f>
        <v>1</v>
      </c>
      <c r="E145" s="29">
        <f>급여대장!V145</f>
        <v>3744018</v>
      </c>
      <c r="F145" s="26">
        <f t="shared" si="20"/>
        <v>44928216</v>
      </c>
      <c r="G145" s="26">
        <f t="shared" si="21"/>
        <v>11989232.399999999</v>
      </c>
      <c r="H145" s="26">
        <f t="shared" si="22"/>
        <v>32938983.600000001</v>
      </c>
      <c r="I145" s="26">
        <f>D145*요율기준!$B$13</f>
        <v>1500000</v>
      </c>
      <c r="J145" s="29">
        <f>'4대보험'!F145*12</f>
        <v>2021760</v>
      </c>
      <c r="K145" s="26">
        <f t="shared" si="23"/>
        <v>4897128.6400000006</v>
      </c>
      <c r="L145" s="26">
        <f t="shared" si="24"/>
        <v>24520094.960000001</v>
      </c>
      <c r="M145" s="26">
        <f t="shared" si="25"/>
        <v>2418014.2439999999</v>
      </c>
      <c r="N145" s="26">
        <f t="shared" si="26"/>
        <v>660000</v>
      </c>
      <c r="O145" s="26">
        <f t="shared" si="27"/>
        <v>1758014.2439999999</v>
      </c>
      <c r="P145" s="28">
        <f t="shared" si="28"/>
        <v>146500</v>
      </c>
      <c r="Q145" s="28">
        <f>TRUNC(P145*요율기준!$B$12,-1)</f>
        <v>14650</v>
      </c>
      <c r="R145" s="28">
        <f t="shared" si="29"/>
        <v>161150</v>
      </c>
    </row>
    <row r="146" spans="1:18" x14ac:dyDescent="0.4">
      <c r="A146" s="30">
        <f>급여대장!A146</f>
        <v>46296</v>
      </c>
      <c r="B146" s="17">
        <v>12</v>
      </c>
      <c r="C146" s="25" t="str">
        <f>급여대장!D146</f>
        <v>타래솔</v>
      </c>
      <c r="D146" s="31">
        <f>직원정보!I16</f>
        <v>1</v>
      </c>
      <c r="E146" s="29">
        <f>급여대장!V146</f>
        <v>3873204</v>
      </c>
      <c r="F146" s="26">
        <f t="shared" si="20"/>
        <v>46478448</v>
      </c>
      <c r="G146" s="26">
        <f t="shared" si="21"/>
        <v>12073922.4</v>
      </c>
      <c r="H146" s="26">
        <f t="shared" si="22"/>
        <v>34404525.600000001</v>
      </c>
      <c r="I146" s="26">
        <f>D146*요율기준!$B$13</f>
        <v>1500000</v>
      </c>
      <c r="J146" s="29">
        <f>'4대보험'!F146*12</f>
        <v>2091480</v>
      </c>
      <c r="K146" s="26">
        <f t="shared" si="23"/>
        <v>4959137.92</v>
      </c>
      <c r="L146" s="26">
        <f t="shared" si="24"/>
        <v>25853907.68</v>
      </c>
      <c r="M146" s="26">
        <f t="shared" si="25"/>
        <v>2618086.1519999998</v>
      </c>
      <c r="N146" s="26">
        <f t="shared" si="26"/>
        <v>660000</v>
      </c>
      <c r="O146" s="26">
        <f t="shared" si="27"/>
        <v>1958086.1519999998</v>
      </c>
      <c r="P146" s="28">
        <f t="shared" si="28"/>
        <v>163170</v>
      </c>
      <c r="Q146" s="28">
        <f>TRUNC(P146*요율기준!$B$12,-1)</f>
        <v>16310</v>
      </c>
      <c r="R146" s="28">
        <f t="shared" si="29"/>
        <v>179480</v>
      </c>
    </row>
    <row r="147" spans="1:18" x14ac:dyDescent="0.4">
      <c r="A147" s="30">
        <f>급여대장!A147</f>
        <v>46327</v>
      </c>
      <c r="B147" s="17">
        <v>12</v>
      </c>
      <c r="C147" s="25" t="str">
        <f>급여대장!D147</f>
        <v>타래솔</v>
      </c>
      <c r="D147" s="31">
        <f>직원정보!I16</f>
        <v>1</v>
      </c>
      <c r="E147" s="29">
        <f>급여대장!V147</f>
        <v>4002390</v>
      </c>
      <c r="F147" s="26">
        <f t="shared" si="20"/>
        <v>48028680</v>
      </c>
      <c r="G147" s="26">
        <f t="shared" si="21"/>
        <v>12151434</v>
      </c>
      <c r="H147" s="26">
        <f t="shared" si="22"/>
        <v>35877246</v>
      </c>
      <c r="I147" s="26">
        <f>D147*요율기준!$B$13</f>
        <v>1500000</v>
      </c>
      <c r="J147" s="29">
        <f>'4대보험'!F147*12</f>
        <v>2161200</v>
      </c>
      <c r="K147" s="26">
        <f t="shared" si="23"/>
        <v>5021147.2</v>
      </c>
      <c r="L147" s="26">
        <f t="shared" si="24"/>
        <v>27194898.800000001</v>
      </c>
      <c r="M147" s="26">
        <f t="shared" si="25"/>
        <v>2819234.8200000003</v>
      </c>
      <c r="N147" s="26">
        <f t="shared" si="26"/>
        <v>660000</v>
      </c>
      <c r="O147" s="26">
        <f t="shared" si="27"/>
        <v>2159234.8200000003</v>
      </c>
      <c r="P147" s="28">
        <f t="shared" si="28"/>
        <v>179930</v>
      </c>
      <c r="Q147" s="28">
        <f>TRUNC(P147*요율기준!$B$12,-1)</f>
        <v>17990</v>
      </c>
      <c r="R147" s="28">
        <f t="shared" si="29"/>
        <v>197920</v>
      </c>
    </row>
    <row r="148" spans="1:18" x14ac:dyDescent="0.4">
      <c r="A148" s="30">
        <f>급여대장!A148</f>
        <v>46357</v>
      </c>
      <c r="B148" s="17">
        <v>12</v>
      </c>
      <c r="C148" s="25" t="str">
        <f>급여대장!D148</f>
        <v>타래솔</v>
      </c>
      <c r="D148" s="31">
        <f>직원정보!I16</f>
        <v>1</v>
      </c>
      <c r="E148" s="29">
        <f>급여대장!V148</f>
        <v>4131576</v>
      </c>
      <c r="F148" s="26">
        <f t="shared" si="20"/>
        <v>49578912</v>
      </c>
      <c r="G148" s="26">
        <f t="shared" si="21"/>
        <v>12228945.6</v>
      </c>
      <c r="H148" s="26">
        <f t="shared" si="22"/>
        <v>37349966.399999999</v>
      </c>
      <c r="I148" s="26">
        <f>D148*요율기준!$B$13</f>
        <v>1500000</v>
      </c>
      <c r="J148" s="29">
        <f>'4대보험'!F148*12</f>
        <v>2231040</v>
      </c>
      <c r="K148" s="26">
        <f t="shared" si="23"/>
        <v>5083156.4800000004</v>
      </c>
      <c r="L148" s="26">
        <f t="shared" si="24"/>
        <v>28535769.919999998</v>
      </c>
      <c r="M148" s="26">
        <f t="shared" si="25"/>
        <v>3020365.4879999994</v>
      </c>
      <c r="N148" s="26">
        <f t="shared" si="26"/>
        <v>660000</v>
      </c>
      <c r="O148" s="26">
        <f t="shared" si="27"/>
        <v>2360365.4879999994</v>
      </c>
      <c r="P148" s="28">
        <f t="shared" si="28"/>
        <v>196690</v>
      </c>
      <c r="Q148" s="28">
        <f>TRUNC(P148*요율기준!$B$12,-1)</f>
        <v>19660</v>
      </c>
      <c r="R148" s="28">
        <f t="shared" si="29"/>
        <v>216350</v>
      </c>
    </row>
    <row r="149" spans="1:18" x14ac:dyDescent="0.4">
      <c r="A149" s="30">
        <f>급여대장!A149</f>
        <v>46023</v>
      </c>
      <c r="B149" s="17">
        <v>13</v>
      </c>
      <c r="C149" s="25" t="str">
        <f>급여대장!D149</f>
        <v>파도한</v>
      </c>
      <c r="D149" s="31">
        <f>직원정보!I17</f>
        <v>1</v>
      </c>
      <c r="E149" s="29">
        <f>급여대장!V149</f>
        <v>3504463</v>
      </c>
      <c r="F149" s="26">
        <f t="shared" si="20"/>
        <v>42053556</v>
      </c>
      <c r="G149" s="26">
        <f t="shared" si="21"/>
        <v>11558033.4</v>
      </c>
      <c r="H149" s="26">
        <f t="shared" si="22"/>
        <v>30495522.600000001</v>
      </c>
      <c r="I149" s="26">
        <f>D149*요율기준!$B$13</f>
        <v>1500000</v>
      </c>
      <c r="J149" s="29">
        <f>'4대보험'!F149*12</f>
        <v>1892400</v>
      </c>
      <c r="K149" s="26">
        <f t="shared" si="23"/>
        <v>4782142.24</v>
      </c>
      <c r="L149" s="26">
        <f t="shared" si="24"/>
        <v>22320980.359999999</v>
      </c>
      <c r="M149" s="26">
        <f t="shared" si="25"/>
        <v>2088147.0539999998</v>
      </c>
      <c r="N149" s="26">
        <f t="shared" si="26"/>
        <v>667571.55200000003</v>
      </c>
      <c r="O149" s="26">
        <f t="shared" si="27"/>
        <v>1420575.5019999999</v>
      </c>
      <c r="P149" s="28">
        <f t="shared" si="28"/>
        <v>118380</v>
      </c>
      <c r="Q149" s="28">
        <f>TRUNC(P149*요율기준!$B$12,-1)</f>
        <v>11830</v>
      </c>
      <c r="R149" s="28">
        <f t="shared" si="29"/>
        <v>130210</v>
      </c>
    </row>
    <row r="150" spans="1:18" x14ac:dyDescent="0.4">
      <c r="A150" s="30">
        <f>급여대장!A150</f>
        <v>46054</v>
      </c>
      <c r="B150" s="17">
        <v>13</v>
      </c>
      <c r="C150" s="25" t="str">
        <f>급여대장!D150</f>
        <v>파도한</v>
      </c>
      <c r="D150" s="31">
        <f>직원정보!I17</f>
        <v>1</v>
      </c>
      <c r="E150" s="29">
        <f>급여대장!V150</f>
        <v>3620734</v>
      </c>
      <c r="F150" s="26">
        <f t="shared" si="20"/>
        <v>43448808</v>
      </c>
      <c r="G150" s="26">
        <f t="shared" si="21"/>
        <v>11767321.199999999</v>
      </c>
      <c r="H150" s="26">
        <f t="shared" si="22"/>
        <v>31681486.800000001</v>
      </c>
      <c r="I150" s="26">
        <f>D150*요율기준!$B$13</f>
        <v>1500000</v>
      </c>
      <c r="J150" s="29">
        <f>'4대보험'!F150*12</f>
        <v>1955160</v>
      </c>
      <c r="K150" s="26">
        <f t="shared" si="23"/>
        <v>4837952.32</v>
      </c>
      <c r="L150" s="26">
        <f t="shared" si="24"/>
        <v>23388374.48</v>
      </c>
      <c r="M150" s="26">
        <f t="shared" si="25"/>
        <v>2248256.1720000003</v>
      </c>
      <c r="N150" s="26">
        <f t="shared" si="26"/>
        <v>660000</v>
      </c>
      <c r="O150" s="26">
        <f t="shared" si="27"/>
        <v>1588256.1720000003</v>
      </c>
      <c r="P150" s="28">
        <f t="shared" si="28"/>
        <v>132350</v>
      </c>
      <c r="Q150" s="28">
        <f>TRUNC(P150*요율기준!$B$12,-1)</f>
        <v>13230</v>
      </c>
      <c r="R150" s="28">
        <f t="shared" si="29"/>
        <v>145580</v>
      </c>
    </row>
    <row r="151" spans="1:18" x14ac:dyDescent="0.4">
      <c r="A151" s="30">
        <f>급여대장!A151</f>
        <v>46082</v>
      </c>
      <c r="B151" s="17">
        <v>13</v>
      </c>
      <c r="C151" s="25" t="str">
        <f>급여대장!D151</f>
        <v>파도한</v>
      </c>
      <c r="D151" s="31">
        <f>직원정보!I17</f>
        <v>1</v>
      </c>
      <c r="E151" s="29">
        <f>급여대장!V151</f>
        <v>3252543</v>
      </c>
      <c r="F151" s="26">
        <f t="shared" si="20"/>
        <v>39030516</v>
      </c>
      <c r="G151" s="26">
        <f t="shared" si="21"/>
        <v>11104577.4</v>
      </c>
      <c r="H151" s="26">
        <f t="shared" si="22"/>
        <v>27925938.600000001</v>
      </c>
      <c r="I151" s="26">
        <f>D151*요율기준!$B$13</f>
        <v>1500000</v>
      </c>
      <c r="J151" s="29">
        <f>'4대보험'!F151*12</f>
        <v>1756320</v>
      </c>
      <c r="K151" s="26">
        <f t="shared" si="23"/>
        <v>4661220.6400000006</v>
      </c>
      <c r="L151" s="26">
        <f t="shared" si="24"/>
        <v>20008397.960000001</v>
      </c>
      <c r="M151" s="26">
        <f t="shared" si="25"/>
        <v>1741259.6940000001</v>
      </c>
      <c r="N151" s="26">
        <f t="shared" si="26"/>
        <v>691755.87199999997</v>
      </c>
      <c r="O151" s="26">
        <f t="shared" si="27"/>
        <v>1049503.8220000002</v>
      </c>
      <c r="P151" s="28">
        <f t="shared" si="28"/>
        <v>87450</v>
      </c>
      <c r="Q151" s="28">
        <f>TRUNC(P151*요율기준!$B$12,-1)</f>
        <v>8740</v>
      </c>
      <c r="R151" s="28">
        <f t="shared" si="29"/>
        <v>96190</v>
      </c>
    </row>
    <row r="152" spans="1:18" x14ac:dyDescent="0.4">
      <c r="A152" s="30">
        <f>급여대장!A152</f>
        <v>46113</v>
      </c>
      <c r="B152" s="17">
        <v>13</v>
      </c>
      <c r="C152" s="25" t="str">
        <f>급여대장!D152</f>
        <v>파도한</v>
      </c>
      <c r="D152" s="31">
        <f>직원정보!I17</f>
        <v>1</v>
      </c>
      <c r="E152" s="29">
        <f>급여대장!V152</f>
        <v>3291299</v>
      </c>
      <c r="F152" s="26">
        <f t="shared" si="20"/>
        <v>39495588</v>
      </c>
      <c r="G152" s="26">
        <f t="shared" si="21"/>
        <v>11174338.199999999</v>
      </c>
      <c r="H152" s="26">
        <f t="shared" si="22"/>
        <v>28321249.800000001</v>
      </c>
      <c r="I152" s="26">
        <f>D152*요율기준!$B$13</f>
        <v>1500000</v>
      </c>
      <c r="J152" s="29">
        <f>'4대보험'!F152*12</f>
        <v>1777200</v>
      </c>
      <c r="K152" s="26">
        <f t="shared" si="23"/>
        <v>4679823.5199999996</v>
      </c>
      <c r="L152" s="26">
        <f t="shared" si="24"/>
        <v>20364226.280000001</v>
      </c>
      <c r="M152" s="26">
        <f t="shared" si="25"/>
        <v>1794633.9420000003</v>
      </c>
      <c r="N152" s="26">
        <f t="shared" si="26"/>
        <v>688035.29599999997</v>
      </c>
      <c r="O152" s="26">
        <f t="shared" si="27"/>
        <v>1106598.6460000002</v>
      </c>
      <c r="P152" s="28">
        <f t="shared" si="28"/>
        <v>92210</v>
      </c>
      <c r="Q152" s="28">
        <f>TRUNC(P152*요율기준!$B$12,-1)</f>
        <v>9220</v>
      </c>
      <c r="R152" s="28">
        <f t="shared" si="29"/>
        <v>101430</v>
      </c>
    </row>
    <row r="153" spans="1:18" x14ac:dyDescent="0.4">
      <c r="A153" s="30">
        <f>급여대장!A153</f>
        <v>46143</v>
      </c>
      <c r="B153" s="17">
        <v>13</v>
      </c>
      <c r="C153" s="25" t="str">
        <f>급여대장!D153</f>
        <v>파도한</v>
      </c>
      <c r="D153" s="31">
        <f>직원정보!I17</f>
        <v>1</v>
      </c>
      <c r="E153" s="29">
        <f>급여대장!V153</f>
        <v>3407571</v>
      </c>
      <c r="F153" s="26">
        <f t="shared" si="20"/>
        <v>40890852</v>
      </c>
      <c r="G153" s="26">
        <f t="shared" si="21"/>
        <v>11383627.800000001</v>
      </c>
      <c r="H153" s="26">
        <f t="shared" si="22"/>
        <v>29507224.199999999</v>
      </c>
      <c r="I153" s="26">
        <f>D153*요율기준!$B$13</f>
        <v>1500000</v>
      </c>
      <c r="J153" s="29">
        <f>'4대보험'!F153*12</f>
        <v>1840080</v>
      </c>
      <c r="K153" s="26">
        <f t="shared" si="23"/>
        <v>4735634.08</v>
      </c>
      <c r="L153" s="26">
        <f t="shared" si="24"/>
        <v>21431510.119999997</v>
      </c>
      <c r="M153" s="26">
        <f t="shared" si="25"/>
        <v>1954726.5179999995</v>
      </c>
      <c r="N153" s="26">
        <f t="shared" si="26"/>
        <v>676873.18400000001</v>
      </c>
      <c r="O153" s="26">
        <f t="shared" si="27"/>
        <v>1277853.3339999993</v>
      </c>
      <c r="P153" s="28">
        <f t="shared" si="28"/>
        <v>106480</v>
      </c>
      <c r="Q153" s="28">
        <f>TRUNC(P153*요율기준!$B$12,-1)</f>
        <v>10640</v>
      </c>
      <c r="R153" s="28">
        <f t="shared" si="29"/>
        <v>117120</v>
      </c>
    </row>
    <row r="154" spans="1:18" x14ac:dyDescent="0.4">
      <c r="A154" s="30">
        <f>급여대장!A154</f>
        <v>46174</v>
      </c>
      <c r="B154" s="17">
        <v>13</v>
      </c>
      <c r="C154" s="25" t="str">
        <f>급여대장!D154</f>
        <v>파도한</v>
      </c>
      <c r="D154" s="31">
        <f>직원정보!I17</f>
        <v>1</v>
      </c>
      <c r="E154" s="29">
        <f>급여대장!V154</f>
        <v>3523841</v>
      </c>
      <c r="F154" s="26">
        <f t="shared" si="20"/>
        <v>42286092</v>
      </c>
      <c r="G154" s="26">
        <f t="shared" si="21"/>
        <v>11592913.800000001</v>
      </c>
      <c r="H154" s="26">
        <f t="shared" si="22"/>
        <v>30693178.199999999</v>
      </c>
      <c r="I154" s="26">
        <f>D154*요율기준!$B$13</f>
        <v>1500000</v>
      </c>
      <c r="J154" s="29">
        <f>'4대보험'!F154*12</f>
        <v>1902840</v>
      </c>
      <c r="K154" s="26">
        <f t="shared" si="23"/>
        <v>4791443.68</v>
      </c>
      <c r="L154" s="26">
        <f t="shared" si="24"/>
        <v>22498894.52</v>
      </c>
      <c r="M154" s="26">
        <f t="shared" si="25"/>
        <v>2114834.1779999998</v>
      </c>
      <c r="N154" s="26">
        <f t="shared" si="26"/>
        <v>665711.26399999997</v>
      </c>
      <c r="O154" s="26">
        <f t="shared" si="27"/>
        <v>1449122.9139999999</v>
      </c>
      <c r="P154" s="28">
        <f t="shared" si="28"/>
        <v>120760</v>
      </c>
      <c r="Q154" s="28">
        <f>TRUNC(P154*요율기준!$B$12,-1)</f>
        <v>12070</v>
      </c>
      <c r="R154" s="28">
        <f t="shared" si="29"/>
        <v>132830</v>
      </c>
    </row>
    <row r="155" spans="1:18" x14ac:dyDescent="0.4">
      <c r="A155" s="30">
        <f>급여대장!A155</f>
        <v>46204</v>
      </c>
      <c r="B155" s="17">
        <v>13</v>
      </c>
      <c r="C155" s="25" t="str">
        <f>급여대장!D155</f>
        <v>파도한</v>
      </c>
      <c r="D155" s="31">
        <f>직원정보!I17</f>
        <v>1</v>
      </c>
      <c r="E155" s="29">
        <f>급여대장!V155</f>
        <v>3640113</v>
      </c>
      <c r="F155" s="26">
        <f t="shared" si="20"/>
        <v>43681356</v>
      </c>
      <c r="G155" s="26">
        <f t="shared" si="21"/>
        <v>11802203.399999999</v>
      </c>
      <c r="H155" s="26">
        <f t="shared" si="22"/>
        <v>31879152.600000001</v>
      </c>
      <c r="I155" s="26">
        <f>D155*요율기준!$B$13</f>
        <v>1500000</v>
      </c>
      <c r="J155" s="29">
        <f>'4대보험'!F155*12</f>
        <v>1965600</v>
      </c>
      <c r="K155" s="26">
        <f t="shared" si="23"/>
        <v>4847254.24</v>
      </c>
      <c r="L155" s="26">
        <f t="shared" si="24"/>
        <v>23566298.359999999</v>
      </c>
      <c r="M155" s="26">
        <f t="shared" si="25"/>
        <v>2274944.7539999997</v>
      </c>
      <c r="N155" s="26">
        <f t="shared" si="26"/>
        <v>660000</v>
      </c>
      <c r="O155" s="26">
        <f t="shared" si="27"/>
        <v>1614944.7539999997</v>
      </c>
      <c r="P155" s="28">
        <f t="shared" si="28"/>
        <v>134570</v>
      </c>
      <c r="Q155" s="28">
        <f>TRUNC(P155*요율기준!$B$12,-1)</f>
        <v>13450</v>
      </c>
      <c r="R155" s="28">
        <f t="shared" si="29"/>
        <v>148020</v>
      </c>
    </row>
    <row r="156" spans="1:18" x14ac:dyDescent="0.4">
      <c r="A156" s="30">
        <f>급여대장!A156</f>
        <v>46235</v>
      </c>
      <c r="B156" s="17">
        <v>13</v>
      </c>
      <c r="C156" s="25" t="str">
        <f>급여대장!D156</f>
        <v>파도한</v>
      </c>
      <c r="D156" s="31">
        <f>직원정보!I17</f>
        <v>1</v>
      </c>
      <c r="E156" s="29">
        <f>급여대장!V156</f>
        <v>3194407</v>
      </c>
      <c r="F156" s="26">
        <f t="shared" si="20"/>
        <v>38332884</v>
      </c>
      <c r="G156" s="26">
        <f t="shared" si="21"/>
        <v>10999932.6</v>
      </c>
      <c r="H156" s="26">
        <f t="shared" si="22"/>
        <v>27332951.399999999</v>
      </c>
      <c r="I156" s="26">
        <f>D156*요율기준!$B$13</f>
        <v>1500000</v>
      </c>
      <c r="J156" s="29">
        <f>'4대보험'!F156*12</f>
        <v>1724880</v>
      </c>
      <c r="K156" s="26">
        <f t="shared" si="23"/>
        <v>4633315.3600000003</v>
      </c>
      <c r="L156" s="26">
        <f t="shared" si="24"/>
        <v>19474756.039999999</v>
      </c>
      <c r="M156" s="26">
        <f t="shared" si="25"/>
        <v>1661213.406</v>
      </c>
      <c r="N156" s="26">
        <f t="shared" si="26"/>
        <v>697336.92799999996</v>
      </c>
      <c r="O156" s="26">
        <f t="shared" si="27"/>
        <v>963876.478</v>
      </c>
      <c r="P156" s="28">
        <f t="shared" si="28"/>
        <v>80320</v>
      </c>
      <c r="Q156" s="28">
        <f>TRUNC(P156*요율기준!$B$12,-1)</f>
        <v>8030</v>
      </c>
      <c r="R156" s="28">
        <f t="shared" si="29"/>
        <v>88350</v>
      </c>
    </row>
    <row r="157" spans="1:18" x14ac:dyDescent="0.4">
      <c r="A157" s="30">
        <f>급여대장!A157</f>
        <v>46266</v>
      </c>
      <c r="B157" s="17">
        <v>13</v>
      </c>
      <c r="C157" s="25" t="str">
        <f>급여대장!D157</f>
        <v>파도한</v>
      </c>
      <c r="D157" s="31">
        <f>직원정보!I17</f>
        <v>1</v>
      </c>
      <c r="E157" s="29">
        <f>급여대장!V157</f>
        <v>3310678</v>
      </c>
      <c r="F157" s="26">
        <f t="shared" si="20"/>
        <v>39728136</v>
      </c>
      <c r="G157" s="26">
        <f t="shared" si="21"/>
        <v>11209220.4</v>
      </c>
      <c r="H157" s="26">
        <f t="shared" si="22"/>
        <v>28518915.600000001</v>
      </c>
      <c r="I157" s="26">
        <f>D157*요율기준!$B$13</f>
        <v>1500000</v>
      </c>
      <c r="J157" s="29">
        <f>'4대보험'!F157*12</f>
        <v>1787760</v>
      </c>
      <c r="K157" s="26">
        <f t="shared" si="23"/>
        <v>4689125.4399999995</v>
      </c>
      <c r="L157" s="26">
        <f t="shared" si="24"/>
        <v>20542030.160000004</v>
      </c>
      <c r="M157" s="26">
        <f t="shared" si="25"/>
        <v>1821304.5240000007</v>
      </c>
      <c r="N157" s="26">
        <f t="shared" si="26"/>
        <v>686174.91200000001</v>
      </c>
      <c r="O157" s="26">
        <f t="shared" si="27"/>
        <v>1135129.6120000007</v>
      </c>
      <c r="P157" s="28">
        <f t="shared" si="28"/>
        <v>94590</v>
      </c>
      <c r="Q157" s="28">
        <f>TRUNC(P157*요율기준!$B$12,-1)</f>
        <v>9450</v>
      </c>
      <c r="R157" s="28">
        <f t="shared" si="29"/>
        <v>104040</v>
      </c>
    </row>
    <row r="158" spans="1:18" x14ac:dyDescent="0.4">
      <c r="A158" s="30">
        <f>급여대장!A158</f>
        <v>46296</v>
      </c>
      <c r="B158" s="17">
        <v>13</v>
      </c>
      <c r="C158" s="25" t="str">
        <f>급여대장!D158</f>
        <v>파도한</v>
      </c>
      <c r="D158" s="31">
        <f>직원정보!I17</f>
        <v>1</v>
      </c>
      <c r="E158" s="29">
        <f>급여대장!V158</f>
        <v>3426949</v>
      </c>
      <c r="F158" s="26">
        <f t="shared" si="20"/>
        <v>41123388</v>
      </c>
      <c r="G158" s="26">
        <f t="shared" si="21"/>
        <v>11418508.199999999</v>
      </c>
      <c r="H158" s="26">
        <f t="shared" si="22"/>
        <v>29704879.800000001</v>
      </c>
      <c r="I158" s="26">
        <f>D158*요율기준!$B$13</f>
        <v>1500000</v>
      </c>
      <c r="J158" s="29">
        <f>'4대보험'!F158*12</f>
        <v>1850520</v>
      </c>
      <c r="K158" s="26">
        <f t="shared" si="23"/>
        <v>4744935.5199999996</v>
      </c>
      <c r="L158" s="26">
        <f t="shared" si="24"/>
        <v>21609424.280000001</v>
      </c>
      <c r="M158" s="26">
        <f t="shared" si="25"/>
        <v>1981413.6420000002</v>
      </c>
      <c r="N158" s="26">
        <f t="shared" si="26"/>
        <v>675012.89599999995</v>
      </c>
      <c r="O158" s="26">
        <f t="shared" si="27"/>
        <v>1306400.7460000003</v>
      </c>
      <c r="P158" s="28">
        <f t="shared" si="28"/>
        <v>108860</v>
      </c>
      <c r="Q158" s="28">
        <f>TRUNC(P158*요율기준!$B$12,-1)</f>
        <v>10880</v>
      </c>
      <c r="R158" s="28">
        <f t="shared" si="29"/>
        <v>119740</v>
      </c>
    </row>
    <row r="159" spans="1:18" x14ac:dyDescent="0.4">
      <c r="A159" s="30">
        <f>급여대장!A159</f>
        <v>46327</v>
      </c>
      <c r="B159" s="17">
        <v>13</v>
      </c>
      <c r="C159" s="25" t="str">
        <f>급여대장!D159</f>
        <v>파도한</v>
      </c>
      <c r="D159" s="31">
        <f>직원정보!I17</f>
        <v>1</v>
      </c>
      <c r="E159" s="29">
        <f>급여대장!V159</f>
        <v>3543220</v>
      </c>
      <c r="F159" s="26">
        <f t="shared" si="20"/>
        <v>42518640</v>
      </c>
      <c r="G159" s="26">
        <f t="shared" si="21"/>
        <v>11627796</v>
      </c>
      <c r="H159" s="26">
        <f t="shared" si="22"/>
        <v>30890844</v>
      </c>
      <c r="I159" s="26">
        <f>D159*요율기준!$B$13</f>
        <v>1500000</v>
      </c>
      <c r="J159" s="29">
        <f>'4대보험'!F159*12</f>
        <v>1913280</v>
      </c>
      <c r="K159" s="26">
        <f t="shared" si="23"/>
        <v>4800745.5999999996</v>
      </c>
      <c r="L159" s="26">
        <f t="shared" si="24"/>
        <v>22676818.399999999</v>
      </c>
      <c r="M159" s="26">
        <f t="shared" si="25"/>
        <v>2141522.7599999998</v>
      </c>
      <c r="N159" s="26">
        <f t="shared" si="26"/>
        <v>663850.88</v>
      </c>
      <c r="O159" s="26">
        <f t="shared" si="27"/>
        <v>1477671.88</v>
      </c>
      <c r="P159" s="28">
        <f t="shared" si="28"/>
        <v>123130</v>
      </c>
      <c r="Q159" s="28">
        <f>TRUNC(P159*요율기준!$B$12,-1)</f>
        <v>12310</v>
      </c>
      <c r="R159" s="28">
        <f t="shared" si="29"/>
        <v>135440</v>
      </c>
    </row>
    <row r="160" spans="1:18" x14ac:dyDescent="0.4">
      <c r="A160" s="30">
        <f>급여대장!A160</f>
        <v>46357</v>
      </c>
      <c r="B160" s="17">
        <v>13</v>
      </c>
      <c r="C160" s="25" t="str">
        <f>급여대장!D160</f>
        <v>파도한</v>
      </c>
      <c r="D160" s="31">
        <f>직원정보!I17</f>
        <v>1</v>
      </c>
      <c r="E160" s="29">
        <f>급여대장!V160</f>
        <v>3581977</v>
      </c>
      <c r="F160" s="26">
        <f t="shared" si="20"/>
        <v>42983724</v>
      </c>
      <c r="G160" s="26">
        <f t="shared" si="21"/>
        <v>11697558.6</v>
      </c>
      <c r="H160" s="26">
        <f t="shared" si="22"/>
        <v>31286165.399999999</v>
      </c>
      <c r="I160" s="26">
        <f>D160*요율기준!$B$13</f>
        <v>1500000</v>
      </c>
      <c r="J160" s="29">
        <f>'4대보험'!F160*12</f>
        <v>1934160</v>
      </c>
      <c r="K160" s="26">
        <f t="shared" si="23"/>
        <v>4819348.96</v>
      </c>
      <c r="L160" s="26">
        <f t="shared" si="24"/>
        <v>23032656.439999998</v>
      </c>
      <c r="M160" s="26">
        <f t="shared" si="25"/>
        <v>2194898.4659999995</v>
      </c>
      <c r="N160" s="26">
        <f t="shared" si="26"/>
        <v>660130.20799999998</v>
      </c>
      <c r="O160" s="26">
        <f t="shared" si="27"/>
        <v>1534768.2579999994</v>
      </c>
      <c r="P160" s="28">
        <f t="shared" si="28"/>
        <v>127890</v>
      </c>
      <c r="Q160" s="28">
        <f>TRUNC(P160*요율기준!$B$12,-1)</f>
        <v>12780</v>
      </c>
      <c r="R160" s="28">
        <f t="shared" si="29"/>
        <v>140670</v>
      </c>
    </row>
    <row r="161" spans="1:18" x14ac:dyDescent="0.4">
      <c r="A161" s="30">
        <f>급여대장!A161</f>
        <v>46023</v>
      </c>
      <c r="B161" s="17">
        <v>14</v>
      </c>
      <c r="C161" s="25" t="str">
        <f>급여대장!D161</f>
        <v>하나로</v>
      </c>
      <c r="D161" s="31">
        <f>직원정보!I18</f>
        <v>1</v>
      </c>
      <c r="E161" s="29">
        <f>급여대장!V161</f>
        <v>3575518</v>
      </c>
      <c r="F161" s="26">
        <f t="shared" si="20"/>
        <v>42906216</v>
      </c>
      <c r="G161" s="26">
        <f t="shared" si="21"/>
        <v>11685932.4</v>
      </c>
      <c r="H161" s="26">
        <f t="shared" si="22"/>
        <v>31220283.600000001</v>
      </c>
      <c r="I161" s="26">
        <f>D161*요율기준!$B$13</f>
        <v>1500000</v>
      </c>
      <c r="J161" s="29">
        <f>'4대보험'!F161*12</f>
        <v>1930680</v>
      </c>
      <c r="K161" s="26">
        <f t="shared" si="23"/>
        <v>4816248.6400000006</v>
      </c>
      <c r="L161" s="26">
        <f t="shared" si="24"/>
        <v>22973354.960000001</v>
      </c>
      <c r="M161" s="26">
        <f t="shared" si="25"/>
        <v>2186003.2439999999</v>
      </c>
      <c r="N161" s="26">
        <f t="shared" si="26"/>
        <v>660750.272</v>
      </c>
      <c r="O161" s="26">
        <f t="shared" si="27"/>
        <v>1525252.9720000001</v>
      </c>
      <c r="P161" s="28">
        <f t="shared" si="28"/>
        <v>127100</v>
      </c>
      <c r="Q161" s="28">
        <f>TRUNC(P161*요율기준!$B$12,-1)</f>
        <v>12710</v>
      </c>
      <c r="R161" s="28">
        <f t="shared" si="29"/>
        <v>139810</v>
      </c>
    </row>
    <row r="162" spans="1:18" x14ac:dyDescent="0.4">
      <c r="A162" s="30">
        <f>급여대장!A162</f>
        <v>46054</v>
      </c>
      <c r="B162" s="17">
        <v>14</v>
      </c>
      <c r="C162" s="25" t="str">
        <f>급여대장!D162</f>
        <v>하나로</v>
      </c>
      <c r="D162" s="31">
        <f>직원정보!I18</f>
        <v>1</v>
      </c>
      <c r="E162" s="29">
        <f>급여대장!V162</f>
        <v>3691788</v>
      </c>
      <c r="F162" s="26">
        <f t="shared" si="20"/>
        <v>44301456</v>
      </c>
      <c r="G162" s="26">
        <f t="shared" si="21"/>
        <v>11895218.399999999</v>
      </c>
      <c r="H162" s="26">
        <f t="shared" si="22"/>
        <v>32406237.600000001</v>
      </c>
      <c r="I162" s="26">
        <f>D162*요율기준!$B$13</f>
        <v>1500000</v>
      </c>
      <c r="J162" s="29">
        <f>'4대보험'!F162*12</f>
        <v>1993560</v>
      </c>
      <c r="K162" s="26">
        <f t="shared" si="23"/>
        <v>4872058.24</v>
      </c>
      <c r="L162" s="26">
        <f t="shared" si="24"/>
        <v>24040619.359999999</v>
      </c>
      <c r="M162" s="26">
        <f t="shared" si="25"/>
        <v>2346092.9040000001</v>
      </c>
      <c r="N162" s="26">
        <f t="shared" si="26"/>
        <v>660000</v>
      </c>
      <c r="O162" s="26">
        <f t="shared" si="27"/>
        <v>1686092.9040000001</v>
      </c>
      <c r="P162" s="28">
        <f t="shared" si="28"/>
        <v>140500</v>
      </c>
      <c r="Q162" s="28">
        <f>TRUNC(P162*요율기준!$B$12,-1)</f>
        <v>14050</v>
      </c>
      <c r="R162" s="28">
        <f t="shared" si="29"/>
        <v>154550</v>
      </c>
    </row>
    <row r="163" spans="1:18" x14ac:dyDescent="0.4">
      <c r="A163" s="30">
        <f>급여대장!A163</f>
        <v>46082</v>
      </c>
      <c r="B163" s="17">
        <v>14</v>
      </c>
      <c r="C163" s="25" t="str">
        <f>급여대장!D163</f>
        <v>하나로</v>
      </c>
      <c r="D163" s="31">
        <f>직원정보!I18</f>
        <v>1</v>
      </c>
      <c r="E163" s="29">
        <f>급여대장!V163</f>
        <v>3323597</v>
      </c>
      <c r="F163" s="26">
        <f t="shared" si="20"/>
        <v>39883164</v>
      </c>
      <c r="G163" s="26">
        <f t="shared" si="21"/>
        <v>11232474.6</v>
      </c>
      <c r="H163" s="26">
        <f t="shared" si="22"/>
        <v>28650689.399999999</v>
      </c>
      <c r="I163" s="26">
        <f>D163*요율기준!$B$13</f>
        <v>1500000</v>
      </c>
      <c r="J163" s="29">
        <f>'4대보험'!F163*12</f>
        <v>1794720</v>
      </c>
      <c r="K163" s="26">
        <f t="shared" si="23"/>
        <v>4695326.5600000005</v>
      </c>
      <c r="L163" s="26">
        <f t="shared" si="24"/>
        <v>20660642.839999996</v>
      </c>
      <c r="M163" s="26">
        <f t="shared" si="25"/>
        <v>1839096.4259999995</v>
      </c>
      <c r="N163" s="26">
        <f t="shared" si="26"/>
        <v>684934.68799999997</v>
      </c>
      <c r="O163" s="26">
        <f t="shared" si="27"/>
        <v>1154161.7379999994</v>
      </c>
      <c r="P163" s="28">
        <f t="shared" si="28"/>
        <v>96180</v>
      </c>
      <c r="Q163" s="28">
        <f>TRUNC(P163*요율기준!$B$12,-1)</f>
        <v>9610</v>
      </c>
      <c r="R163" s="28">
        <f t="shared" si="29"/>
        <v>105790</v>
      </c>
    </row>
    <row r="164" spans="1:18" x14ac:dyDescent="0.4">
      <c r="A164" s="30">
        <f>급여대장!A164</f>
        <v>46113</v>
      </c>
      <c r="B164" s="17">
        <v>14</v>
      </c>
      <c r="C164" s="25" t="str">
        <f>급여대장!D164</f>
        <v>하나로</v>
      </c>
      <c r="D164" s="31">
        <f>직원정보!I18</f>
        <v>1</v>
      </c>
      <c r="E164" s="29">
        <f>급여대장!V164</f>
        <v>3362354</v>
      </c>
      <c r="F164" s="26">
        <f t="shared" si="20"/>
        <v>40348248</v>
      </c>
      <c r="G164" s="26">
        <f t="shared" si="21"/>
        <v>11302237.199999999</v>
      </c>
      <c r="H164" s="26">
        <f t="shared" si="22"/>
        <v>29046010.800000001</v>
      </c>
      <c r="I164" s="26">
        <f>D164*요율기준!$B$13</f>
        <v>1500000</v>
      </c>
      <c r="J164" s="29">
        <f>'4대보험'!F164*12</f>
        <v>1815600</v>
      </c>
      <c r="K164" s="26">
        <f t="shared" si="23"/>
        <v>4713929.92</v>
      </c>
      <c r="L164" s="26">
        <f t="shared" si="24"/>
        <v>21016480.880000003</v>
      </c>
      <c r="M164" s="26">
        <f t="shared" si="25"/>
        <v>1892472.1320000004</v>
      </c>
      <c r="N164" s="26">
        <f t="shared" si="26"/>
        <v>681214.01599999995</v>
      </c>
      <c r="O164" s="26">
        <f t="shared" si="27"/>
        <v>1211258.1160000004</v>
      </c>
      <c r="P164" s="28">
        <f t="shared" si="28"/>
        <v>100930</v>
      </c>
      <c r="Q164" s="28">
        <f>TRUNC(P164*요율기준!$B$12,-1)</f>
        <v>10090</v>
      </c>
      <c r="R164" s="28">
        <f t="shared" si="29"/>
        <v>111020</v>
      </c>
    </row>
    <row r="165" spans="1:18" x14ac:dyDescent="0.4">
      <c r="A165" s="30">
        <f>급여대장!A165</f>
        <v>46143</v>
      </c>
      <c r="B165" s="17">
        <v>14</v>
      </c>
      <c r="C165" s="25" t="str">
        <f>급여대장!D165</f>
        <v>하나로</v>
      </c>
      <c r="D165" s="31">
        <f>직원정보!I18</f>
        <v>1</v>
      </c>
      <c r="E165" s="29">
        <f>급여대장!V165</f>
        <v>3478625</v>
      </c>
      <c r="F165" s="26">
        <f t="shared" si="20"/>
        <v>41743500</v>
      </c>
      <c r="G165" s="26">
        <f t="shared" si="21"/>
        <v>11511525</v>
      </c>
      <c r="H165" s="26">
        <f t="shared" si="22"/>
        <v>30231975</v>
      </c>
      <c r="I165" s="26">
        <f>D165*요율기준!$B$13</f>
        <v>1500000</v>
      </c>
      <c r="J165" s="29">
        <f>'4대보험'!F165*12</f>
        <v>1878360</v>
      </c>
      <c r="K165" s="26">
        <f t="shared" si="23"/>
        <v>4769740</v>
      </c>
      <c r="L165" s="26">
        <f t="shared" si="24"/>
        <v>22083875</v>
      </c>
      <c r="M165" s="26">
        <f t="shared" si="25"/>
        <v>2052581.25</v>
      </c>
      <c r="N165" s="26">
        <f t="shared" si="26"/>
        <v>670052</v>
      </c>
      <c r="O165" s="26">
        <f t="shared" si="27"/>
        <v>1382529.25</v>
      </c>
      <c r="P165" s="28">
        <f t="shared" si="28"/>
        <v>115210</v>
      </c>
      <c r="Q165" s="28">
        <f>TRUNC(P165*요율기준!$B$12,-1)</f>
        <v>11520</v>
      </c>
      <c r="R165" s="28">
        <f t="shared" si="29"/>
        <v>126730</v>
      </c>
    </row>
    <row r="166" spans="1:18" x14ac:dyDescent="0.4">
      <c r="A166" s="30">
        <f>급여대장!A166</f>
        <v>46174</v>
      </c>
      <c r="B166" s="17">
        <v>14</v>
      </c>
      <c r="C166" s="25" t="str">
        <f>급여대장!D166</f>
        <v>하나로</v>
      </c>
      <c r="D166" s="31">
        <f>직원정보!I18</f>
        <v>1</v>
      </c>
      <c r="E166" s="29">
        <f>급여대장!V166</f>
        <v>3594896</v>
      </c>
      <c r="F166" s="26">
        <f t="shared" si="20"/>
        <v>43138752</v>
      </c>
      <c r="G166" s="26">
        <f t="shared" si="21"/>
        <v>11720812.800000001</v>
      </c>
      <c r="H166" s="26">
        <f t="shared" si="22"/>
        <v>31417939.199999999</v>
      </c>
      <c r="I166" s="26">
        <f>D166*요율기준!$B$13</f>
        <v>1500000</v>
      </c>
      <c r="J166" s="29">
        <f>'4대보험'!F166*12</f>
        <v>1941240</v>
      </c>
      <c r="K166" s="26">
        <f t="shared" si="23"/>
        <v>4825550.08</v>
      </c>
      <c r="L166" s="26">
        <f t="shared" si="24"/>
        <v>23151149.119999997</v>
      </c>
      <c r="M166" s="26">
        <f t="shared" si="25"/>
        <v>2212672.3679999998</v>
      </c>
      <c r="N166" s="26">
        <f t="shared" si="26"/>
        <v>660000</v>
      </c>
      <c r="O166" s="26">
        <f t="shared" si="27"/>
        <v>1552672.3679999998</v>
      </c>
      <c r="P166" s="28">
        <f t="shared" si="28"/>
        <v>129380</v>
      </c>
      <c r="Q166" s="28">
        <f>TRUNC(P166*요율기준!$B$12,-1)</f>
        <v>12930</v>
      </c>
      <c r="R166" s="28">
        <f t="shared" si="29"/>
        <v>142310</v>
      </c>
    </row>
    <row r="167" spans="1:18" x14ac:dyDescent="0.4">
      <c r="A167" s="30">
        <f>급여대장!A167</f>
        <v>46204</v>
      </c>
      <c r="B167" s="17">
        <v>14</v>
      </c>
      <c r="C167" s="25" t="str">
        <f>급여대장!D167</f>
        <v>하나로</v>
      </c>
      <c r="D167" s="31">
        <f>직원정보!I18</f>
        <v>1</v>
      </c>
      <c r="E167" s="29">
        <f>급여대장!V167</f>
        <v>3711167</v>
      </c>
      <c r="F167" s="26">
        <f t="shared" si="20"/>
        <v>44534004</v>
      </c>
      <c r="G167" s="26">
        <f t="shared" si="21"/>
        <v>11930100.6</v>
      </c>
      <c r="H167" s="26">
        <f t="shared" si="22"/>
        <v>32603903.399999999</v>
      </c>
      <c r="I167" s="26">
        <f>D167*요율기준!$B$13</f>
        <v>1500000</v>
      </c>
      <c r="J167" s="29">
        <f>'4대보험'!F167*12</f>
        <v>2004000</v>
      </c>
      <c r="K167" s="26">
        <f t="shared" si="23"/>
        <v>4881360.16</v>
      </c>
      <c r="L167" s="26">
        <f t="shared" si="24"/>
        <v>24218543.239999998</v>
      </c>
      <c r="M167" s="26">
        <f t="shared" si="25"/>
        <v>2372781.4859999996</v>
      </c>
      <c r="N167" s="26">
        <f t="shared" si="26"/>
        <v>660000</v>
      </c>
      <c r="O167" s="26">
        <f t="shared" si="27"/>
        <v>1712781.4859999996</v>
      </c>
      <c r="P167" s="28">
        <f t="shared" si="28"/>
        <v>142730</v>
      </c>
      <c r="Q167" s="28">
        <f>TRUNC(P167*요율기준!$B$12,-1)</f>
        <v>14270</v>
      </c>
      <c r="R167" s="28">
        <f t="shared" si="29"/>
        <v>157000</v>
      </c>
    </row>
    <row r="168" spans="1:18" x14ac:dyDescent="0.4">
      <c r="A168" s="30">
        <f>급여대장!A168</f>
        <v>46235</v>
      </c>
      <c r="B168" s="17">
        <v>14</v>
      </c>
      <c r="C168" s="25" t="str">
        <f>급여대장!D168</f>
        <v>하나로</v>
      </c>
      <c r="D168" s="31">
        <f>직원정보!I18</f>
        <v>1</v>
      </c>
      <c r="E168" s="29">
        <f>급여대장!V168</f>
        <v>3265461</v>
      </c>
      <c r="F168" s="26">
        <f t="shared" si="20"/>
        <v>39185532</v>
      </c>
      <c r="G168" s="26">
        <f t="shared" si="21"/>
        <v>11127829.800000001</v>
      </c>
      <c r="H168" s="26">
        <f t="shared" si="22"/>
        <v>28057702.199999999</v>
      </c>
      <c r="I168" s="26">
        <f>D168*요율기준!$B$13</f>
        <v>1500000</v>
      </c>
      <c r="J168" s="29">
        <f>'4대보험'!F168*12</f>
        <v>1763280</v>
      </c>
      <c r="K168" s="26">
        <f t="shared" si="23"/>
        <v>4667421.28</v>
      </c>
      <c r="L168" s="26">
        <f t="shared" si="24"/>
        <v>20127000.919999998</v>
      </c>
      <c r="M168" s="26">
        <f t="shared" si="25"/>
        <v>1759050.1379999998</v>
      </c>
      <c r="N168" s="26">
        <f t="shared" si="26"/>
        <v>690515.74399999995</v>
      </c>
      <c r="O168" s="26">
        <f t="shared" si="27"/>
        <v>1068534.3939999999</v>
      </c>
      <c r="P168" s="28">
        <f t="shared" si="28"/>
        <v>89040</v>
      </c>
      <c r="Q168" s="28">
        <f>TRUNC(P168*요율기준!$B$12,-1)</f>
        <v>8900</v>
      </c>
      <c r="R168" s="28">
        <f t="shared" si="29"/>
        <v>97940</v>
      </c>
    </row>
    <row r="169" spans="1:18" x14ac:dyDescent="0.4">
      <c r="A169" s="30">
        <f>급여대장!A169</f>
        <v>46266</v>
      </c>
      <c r="B169" s="17">
        <v>14</v>
      </c>
      <c r="C169" s="25" t="str">
        <f>급여대장!D169</f>
        <v>하나로</v>
      </c>
      <c r="D169" s="31">
        <f>직원정보!I18</f>
        <v>1</v>
      </c>
      <c r="E169" s="29">
        <f>급여대장!V169</f>
        <v>3381733</v>
      </c>
      <c r="F169" s="26">
        <f t="shared" si="20"/>
        <v>40580796</v>
      </c>
      <c r="G169" s="26">
        <f t="shared" si="21"/>
        <v>11337119.4</v>
      </c>
      <c r="H169" s="26">
        <f t="shared" si="22"/>
        <v>29243676.600000001</v>
      </c>
      <c r="I169" s="26">
        <f>D169*요율기준!$B$13</f>
        <v>1500000</v>
      </c>
      <c r="J169" s="29">
        <f>'4대보험'!F169*12</f>
        <v>1826040</v>
      </c>
      <c r="K169" s="26">
        <f t="shared" si="23"/>
        <v>4723231.84</v>
      </c>
      <c r="L169" s="26">
        <f t="shared" si="24"/>
        <v>21194404.760000002</v>
      </c>
      <c r="M169" s="26">
        <f t="shared" si="25"/>
        <v>1919160.7140000002</v>
      </c>
      <c r="N169" s="26">
        <f t="shared" si="26"/>
        <v>679353.63199999998</v>
      </c>
      <c r="O169" s="26">
        <f t="shared" si="27"/>
        <v>1239807.0820000002</v>
      </c>
      <c r="P169" s="28">
        <f t="shared" si="28"/>
        <v>103310</v>
      </c>
      <c r="Q169" s="28">
        <f>TRUNC(P169*요율기준!$B$12,-1)</f>
        <v>10330</v>
      </c>
      <c r="R169" s="28">
        <f t="shared" si="29"/>
        <v>113640</v>
      </c>
    </row>
    <row r="170" spans="1:18" x14ac:dyDescent="0.4">
      <c r="A170" s="30">
        <f>급여대장!A170</f>
        <v>46296</v>
      </c>
      <c r="B170" s="17">
        <v>14</v>
      </c>
      <c r="C170" s="25" t="str">
        <f>급여대장!D170</f>
        <v>하나로</v>
      </c>
      <c r="D170" s="31">
        <f>직원정보!I18</f>
        <v>1</v>
      </c>
      <c r="E170" s="29">
        <f>급여대장!V170</f>
        <v>3498003</v>
      </c>
      <c r="F170" s="26">
        <f t="shared" si="20"/>
        <v>41976036</v>
      </c>
      <c r="G170" s="26">
        <f t="shared" si="21"/>
        <v>11546405.4</v>
      </c>
      <c r="H170" s="26">
        <f t="shared" si="22"/>
        <v>30429630.600000001</v>
      </c>
      <c r="I170" s="26">
        <f>D170*요율기준!$B$13</f>
        <v>1500000</v>
      </c>
      <c r="J170" s="29">
        <f>'4대보험'!F170*12</f>
        <v>1888920</v>
      </c>
      <c r="K170" s="26">
        <f t="shared" si="23"/>
        <v>4779041.4399999995</v>
      </c>
      <c r="L170" s="26">
        <f t="shared" si="24"/>
        <v>22261669.160000004</v>
      </c>
      <c r="M170" s="26">
        <f t="shared" si="25"/>
        <v>2079250.3740000005</v>
      </c>
      <c r="N170" s="26">
        <f t="shared" si="26"/>
        <v>668191.71200000006</v>
      </c>
      <c r="O170" s="26">
        <f t="shared" si="27"/>
        <v>1411058.6620000005</v>
      </c>
      <c r="P170" s="28">
        <f t="shared" si="28"/>
        <v>117580</v>
      </c>
      <c r="Q170" s="28">
        <f>TRUNC(P170*요율기준!$B$12,-1)</f>
        <v>11750</v>
      </c>
      <c r="R170" s="28">
        <f t="shared" si="29"/>
        <v>129330</v>
      </c>
    </row>
    <row r="171" spans="1:18" x14ac:dyDescent="0.4">
      <c r="A171" s="30">
        <f>급여대장!A171</f>
        <v>46327</v>
      </c>
      <c r="B171" s="17">
        <v>14</v>
      </c>
      <c r="C171" s="25" t="str">
        <f>급여대장!D171</f>
        <v>하나로</v>
      </c>
      <c r="D171" s="31">
        <f>직원정보!I18</f>
        <v>1</v>
      </c>
      <c r="E171" s="29">
        <f>급여대장!V171</f>
        <v>3614275</v>
      </c>
      <c r="F171" s="26">
        <f t="shared" si="20"/>
        <v>43371300</v>
      </c>
      <c r="G171" s="26">
        <f t="shared" si="21"/>
        <v>11755695</v>
      </c>
      <c r="H171" s="26">
        <f t="shared" si="22"/>
        <v>31615605</v>
      </c>
      <c r="I171" s="26">
        <f>D171*요율기준!$B$13</f>
        <v>1500000</v>
      </c>
      <c r="J171" s="29">
        <f>'4대보험'!F171*12</f>
        <v>1951680</v>
      </c>
      <c r="K171" s="26">
        <f t="shared" si="23"/>
        <v>4834852</v>
      </c>
      <c r="L171" s="26">
        <f t="shared" si="24"/>
        <v>23329073</v>
      </c>
      <c r="M171" s="26">
        <f t="shared" si="25"/>
        <v>2239360.9500000002</v>
      </c>
      <c r="N171" s="26">
        <f t="shared" si="26"/>
        <v>660000</v>
      </c>
      <c r="O171" s="26">
        <f t="shared" si="27"/>
        <v>1579360.9500000002</v>
      </c>
      <c r="P171" s="28">
        <f t="shared" si="28"/>
        <v>131610</v>
      </c>
      <c r="Q171" s="28">
        <f>TRUNC(P171*요율기준!$B$12,-1)</f>
        <v>13160</v>
      </c>
      <c r="R171" s="28">
        <f t="shared" si="29"/>
        <v>144770</v>
      </c>
    </row>
    <row r="172" spans="1:18" x14ac:dyDescent="0.4">
      <c r="A172" s="30">
        <f>급여대장!A172</f>
        <v>46357</v>
      </c>
      <c r="B172" s="17">
        <v>14</v>
      </c>
      <c r="C172" s="25" t="str">
        <f>급여대장!D172</f>
        <v>하나로</v>
      </c>
      <c r="D172" s="31">
        <f>직원정보!I18</f>
        <v>1</v>
      </c>
      <c r="E172" s="29">
        <f>급여대장!V172</f>
        <v>3653031</v>
      </c>
      <c r="F172" s="26">
        <f t="shared" si="20"/>
        <v>43836372</v>
      </c>
      <c r="G172" s="26">
        <f t="shared" si="21"/>
        <v>11825455.800000001</v>
      </c>
      <c r="H172" s="26">
        <f t="shared" si="22"/>
        <v>32010916.199999999</v>
      </c>
      <c r="I172" s="26">
        <f>D172*요율기준!$B$13</f>
        <v>1500000</v>
      </c>
      <c r="J172" s="29">
        <f>'4대보험'!F172*12</f>
        <v>1972560</v>
      </c>
      <c r="K172" s="26">
        <f t="shared" si="23"/>
        <v>4853454.88</v>
      </c>
      <c r="L172" s="26">
        <f t="shared" si="24"/>
        <v>23684901.32</v>
      </c>
      <c r="M172" s="26">
        <f t="shared" si="25"/>
        <v>2292735.1979999999</v>
      </c>
      <c r="N172" s="26">
        <f t="shared" si="26"/>
        <v>660000</v>
      </c>
      <c r="O172" s="26">
        <f t="shared" si="27"/>
        <v>1632735.1979999999</v>
      </c>
      <c r="P172" s="28">
        <f t="shared" si="28"/>
        <v>136060</v>
      </c>
      <c r="Q172" s="28">
        <f>TRUNC(P172*요율기준!$B$12,-1)</f>
        <v>13600</v>
      </c>
      <c r="R172" s="28">
        <f t="shared" si="29"/>
        <v>149660</v>
      </c>
    </row>
    <row r="173" spans="1:18" x14ac:dyDescent="0.4">
      <c r="A173" s="30">
        <f>급여대장!A173</f>
        <v>46023</v>
      </c>
      <c r="B173" s="17">
        <v>15</v>
      </c>
      <c r="C173" s="25" t="str">
        <f>급여대장!D173</f>
        <v>한결이</v>
      </c>
      <c r="D173" s="31">
        <f>직원정보!I19</f>
        <v>1</v>
      </c>
      <c r="E173" s="29">
        <f>급여대장!V173</f>
        <v>4402584</v>
      </c>
      <c r="F173" s="26">
        <f t="shared" si="20"/>
        <v>52831008</v>
      </c>
      <c r="G173" s="26">
        <f t="shared" si="21"/>
        <v>12391550.4</v>
      </c>
      <c r="H173" s="26">
        <f t="shared" si="22"/>
        <v>40439457.600000001</v>
      </c>
      <c r="I173" s="26">
        <f>D173*요율기준!$B$13</f>
        <v>1500000</v>
      </c>
      <c r="J173" s="29">
        <f>'4대보험'!F173*12</f>
        <v>2377320</v>
      </c>
      <c r="K173" s="26">
        <f t="shared" si="23"/>
        <v>5213240.32</v>
      </c>
      <c r="L173" s="26">
        <f t="shared" si="24"/>
        <v>31348897.280000001</v>
      </c>
      <c r="M173" s="26">
        <f t="shared" si="25"/>
        <v>3442334.5920000002</v>
      </c>
      <c r="N173" s="26">
        <f t="shared" si="26"/>
        <v>660000</v>
      </c>
      <c r="O173" s="26">
        <f t="shared" si="27"/>
        <v>2782334.5920000002</v>
      </c>
      <c r="P173" s="28">
        <f t="shared" si="28"/>
        <v>231860</v>
      </c>
      <c r="Q173" s="28">
        <f>TRUNC(P173*요율기준!$B$12,-1)</f>
        <v>23180</v>
      </c>
      <c r="R173" s="28">
        <f t="shared" si="29"/>
        <v>255040</v>
      </c>
    </row>
    <row r="174" spans="1:18" x14ac:dyDescent="0.4">
      <c r="A174" s="30">
        <f>급여대장!A174</f>
        <v>46054</v>
      </c>
      <c r="B174" s="17">
        <v>15</v>
      </c>
      <c r="C174" s="25" t="str">
        <f>급여대장!D174</f>
        <v>한결이</v>
      </c>
      <c r="D174" s="31">
        <f>직원정보!I19</f>
        <v>1</v>
      </c>
      <c r="E174" s="29">
        <f>급여대장!V174</f>
        <v>3966220</v>
      </c>
      <c r="F174" s="26">
        <f t="shared" si="20"/>
        <v>47594640</v>
      </c>
      <c r="G174" s="26">
        <f t="shared" si="21"/>
        <v>12129732</v>
      </c>
      <c r="H174" s="26">
        <f t="shared" si="22"/>
        <v>35464908</v>
      </c>
      <c r="I174" s="26">
        <f>D174*요율기준!$B$13</f>
        <v>1500000</v>
      </c>
      <c r="J174" s="29">
        <f>'4대보험'!F174*12</f>
        <v>2141640</v>
      </c>
      <c r="K174" s="26">
        <f t="shared" si="23"/>
        <v>5003785.5999999996</v>
      </c>
      <c r="L174" s="26">
        <f t="shared" si="24"/>
        <v>26819482.399999999</v>
      </c>
      <c r="M174" s="26">
        <f t="shared" si="25"/>
        <v>2762922.3599999994</v>
      </c>
      <c r="N174" s="26">
        <f t="shared" si="26"/>
        <v>660000</v>
      </c>
      <c r="O174" s="26">
        <f t="shared" si="27"/>
        <v>2102922.3599999994</v>
      </c>
      <c r="P174" s="28">
        <f t="shared" si="28"/>
        <v>175240</v>
      </c>
      <c r="Q174" s="28">
        <f>TRUNC(P174*요율기준!$B$12,-1)</f>
        <v>17520</v>
      </c>
      <c r="R174" s="28">
        <f t="shared" si="29"/>
        <v>192760</v>
      </c>
    </row>
    <row r="175" spans="1:18" x14ac:dyDescent="0.4">
      <c r="A175" s="30">
        <f>급여대장!A175</f>
        <v>46082</v>
      </c>
      <c r="B175" s="17">
        <v>15</v>
      </c>
      <c r="C175" s="25" t="str">
        <f>급여대장!D175</f>
        <v>한결이</v>
      </c>
      <c r="D175" s="31">
        <f>직원정보!I19</f>
        <v>1</v>
      </c>
      <c r="E175" s="29">
        <f>급여대장!V175</f>
        <v>4012154</v>
      </c>
      <c r="F175" s="26">
        <f t="shared" si="20"/>
        <v>48145848</v>
      </c>
      <c r="G175" s="26">
        <f t="shared" si="21"/>
        <v>12157292.4</v>
      </c>
      <c r="H175" s="26">
        <f t="shared" si="22"/>
        <v>35988555.600000001</v>
      </c>
      <c r="I175" s="26">
        <f>D175*요율기준!$B$13</f>
        <v>1500000</v>
      </c>
      <c r="J175" s="29">
        <f>'4대보험'!F175*12</f>
        <v>2166480</v>
      </c>
      <c r="K175" s="26">
        <f t="shared" si="23"/>
        <v>5025833.92</v>
      </c>
      <c r="L175" s="26">
        <f t="shared" si="24"/>
        <v>27296241.68</v>
      </c>
      <c r="M175" s="26">
        <f t="shared" si="25"/>
        <v>2834436.2519999999</v>
      </c>
      <c r="N175" s="26">
        <f t="shared" si="26"/>
        <v>660000</v>
      </c>
      <c r="O175" s="26">
        <f t="shared" si="27"/>
        <v>2174436.2519999999</v>
      </c>
      <c r="P175" s="28">
        <f t="shared" si="28"/>
        <v>181200</v>
      </c>
      <c r="Q175" s="28">
        <f>TRUNC(P175*요율기준!$B$12,-1)</f>
        <v>18120</v>
      </c>
      <c r="R175" s="28">
        <f t="shared" si="29"/>
        <v>199320</v>
      </c>
    </row>
    <row r="176" spans="1:18" x14ac:dyDescent="0.4">
      <c r="A176" s="30">
        <f>급여대장!A176</f>
        <v>46113</v>
      </c>
      <c r="B176" s="17">
        <v>15</v>
      </c>
      <c r="C176" s="25" t="str">
        <f>급여대장!D176</f>
        <v>한결이</v>
      </c>
      <c r="D176" s="31">
        <f>직원정보!I19</f>
        <v>1</v>
      </c>
      <c r="E176" s="29">
        <f>급여대장!V176</f>
        <v>4149952</v>
      </c>
      <c r="F176" s="26">
        <f t="shared" si="20"/>
        <v>49799424</v>
      </c>
      <c r="G176" s="26">
        <f t="shared" si="21"/>
        <v>12239971.199999999</v>
      </c>
      <c r="H176" s="26">
        <f t="shared" si="22"/>
        <v>37559452.799999997</v>
      </c>
      <c r="I176" s="26">
        <f>D176*요율기준!$B$13</f>
        <v>1500000</v>
      </c>
      <c r="J176" s="29">
        <f>'4대보험'!F176*12</f>
        <v>2240880</v>
      </c>
      <c r="K176" s="26">
        <f t="shared" si="23"/>
        <v>5091976.96</v>
      </c>
      <c r="L176" s="26">
        <f t="shared" si="24"/>
        <v>28726595.839999996</v>
      </c>
      <c r="M176" s="26">
        <f t="shared" si="25"/>
        <v>3048989.3759999992</v>
      </c>
      <c r="N176" s="26">
        <f t="shared" si="26"/>
        <v>660000</v>
      </c>
      <c r="O176" s="26">
        <f t="shared" si="27"/>
        <v>2388989.3759999992</v>
      </c>
      <c r="P176" s="28">
        <f t="shared" si="28"/>
        <v>199080</v>
      </c>
      <c r="Q176" s="28">
        <f>TRUNC(P176*요율기준!$B$12,-1)</f>
        <v>19900</v>
      </c>
      <c r="R176" s="28">
        <f t="shared" si="29"/>
        <v>218980</v>
      </c>
    </row>
    <row r="177" spans="1:18" x14ac:dyDescent="0.4">
      <c r="A177" s="30">
        <f>급여대장!A177</f>
        <v>46143</v>
      </c>
      <c r="B177" s="17">
        <v>15</v>
      </c>
      <c r="C177" s="25" t="str">
        <f>급여대장!D177</f>
        <v>한결이</v>
      </c>
      <c r="D177" s="31">
        <f>직원정보!I19</f>
        <v>1</v>
      </c>
      <c r="E177" s="29">
        <f>급여대장!V177</f>
        <v>4287752</v>
      </c>
      <c r="F177" s="26">
        <f t="shared" si="20"/>
        <v>51453024</v>
      </c>
      <c r="G177" s="26">
        <f t="shared" si="21"/>
        <v>12322651.199999999</v>
      </c>
      <c r="H177" s="26">
        <f t="shared" si="22"/>
        <v>39130372.799999997</v>
      </c>
      <c r="I177" s="26">
        <f>D177*요율기준!$B$13</f>
        <v>1500000</v>
      </c>
      <c r="J177" s="29">
        <f>'4대보험'!F177*12</f>
        <v>2315280</v>
      </c>
      <c r="K177" s="26">
        <f t="shared" si="23"/>
        <v>5158120.96</v>
      </c>
      <c r="L177" s="26">
        <f t="shared" si="24"/>
        <v>30156971.839999996</v>
      </c>
      <c r="M177" s="26">
        <f t="shared" si="25"/>
        <v>3263545.7759999991</v>
      </c>
      <c r="N177" s="26">
        <f t="shared" si="26"/>
        <v>660000</v>
      </c>
      <c r="O177" s="26">
        <f t="shared" si="27"/>
        <v>2603545.7759999991</v>
      </c>
      <c r="P177" s="28">
        <f t="shared" si="28"/>
        <v>216960</v>
      </c>
      <c r="Q177" s="28">
        <f>TRUNC(P177*요율기준!$B$12,-1)</f>
        <v>21690</v>
      </c>
      <c r="R177" s="28">
        <f t="shared" si="29"/>
        <v>238650</v>
      </c>
    </row>
    <row r="178" spans="1:18" x14ac:dyDescent="0.4">
      <c r="A178" s="30">
        <f>급여대장!A178</f>
        <v>46174</v>
      </c>
      <c r="B178" s="17">
        <v>15</v>
      </c>
      <c r="C178" s="25" t="str">
        <f>급여대장!D178</f>
        <v>한결이</v>
      </c>
      <c r="D178" s="31">
        <f>직원정보!I19</f>
        <v>1</v>
      </c>
      <c r="E178" s="29">
        <f>급여대장!V178</f>
        <v>4425550</v>
      </c>
      <c r="F178" s="26">
        <f t="shared" si="20"/>
        <v>53106600</v>
      </c>
      <c r="G178" s="26">
        <f t="shared" si="21"/>
        <v>12405330</v>
      </c>
      <c r="H178" s="26">
        <f t="shared" si="22"/>
        <v>40701270</v>
      </c>
      <c r="I178" s="26">
        <f>D178*요율기준!$B$13</f>
        <v>1500000</v>
      </c>
      <c r="J178" s="29">
        <f>'4대보험'!F178*12</f>
        <v>2389680</v>
      </c>
      <c r="K178" s="26">
        <f t="shared" si="23"/>
        <v>5224264</v>
      </c>
      <c r="L178" s="26">
        <f t="shared" si="24"/>
        <v>31587326</v>
      </c>
      <c r="M178" s="26">
        <f t="shared" si="25"/>
        <v>3478098.9</v>
      </c>
      <c r="N178" s="26">
        <f t="shared" si="26"/>
        <v>660000</v>
      </c>
      <c r="O178" s="26">
        <f t="shared" si="27"/>
        <v>2818098.9</v>
      </c>
      <c r="P178" s="28">
        <f t="shared" si="28"/>
        <v>234840</v>
      </c>
      <c r="Q178" s="28">
        <f>TRUNC(P178*요율기준!$B$12,-1)</f>
        <v>23480</v>
      </c>
      <c r="R178" s="28">
        <f t="shared" si="29"/>
        <v>258320</v>
      </c>
    </row>
    <row r="179" spans="1:18" x14ac:dyDescent="0.4">
      <c r="A179" s="30">
        <f>급여대장!A179</f>
        <v>46204</v>
      </c>
      <c r="B179" s="17">
        <v>15</v>
      </c>
      <c r="C179" s="25" t="str">
        <f>급여대장!D179</f>
        <v>한결이</v>
      </c>
      <c r="D179" s="31">
        <f>직원정보!I19</f>
        <v>1</v>
      </c>
      <c r="E179" s="29">
        <f>급여대장!V179</f>
        <v>3897321</v>
      </c>
      <c r="F179" s="26">
        <f t="shared" si="20"/>
        <v>46767852</v>
      </c>
      <c r="G179" s="26">
        <f t="shared" si="21"/>
        <v>12088392.6</v>
      </c>
      <c r="H179" s="26">
        <f t="shared" si="22"/>
        <v>34679459.399999999</v>
      </c>
      <c r="I179" s="26">
        <f>D179*요율기준!$B$13</f>
        <v>1500000</v>
      </c>
      <c r="J179" s="29">
        <f>'4대보험'!F179*12</f>
        <v>2104440</v>
      </c>
      <c r="K179" s="26">
        <f t="shared" si="23"/>
        <v>4970714.08</v>
      </c>
      <c r="L179" s="26">
        <f t="shared" si="24"/>
        <v>26104305.32</v>
      </c>
      <c r="M179" s="26">
        <f t="shared" si="25"/>
        <v>2655645.798</v>
      </c>
      <c r="N179" s="26">
        <f t="shared" si="26"/>
        <v>660000</v>
      </c>
      <c r="O179" s="26">
        <f t="shared" si="27"/>
        <v>1995645.798</v>
      </c>
      <c r="P179" s="28">
        <f t="shared" si="28"/>
        <v>166300</v>
      </c>
      <c r="Q179" s="28">
        <f>TRUNC(P179*요율기준!$B$12,-1)</f>
        <v>16630</v>
      </c>
      <c r="R179" s="28">
        <f t="shared" si="29"/>
        <v>182930</v>
      </c>
    </row>
    <row r="180" spans="1:18" x14ac:dyDescent="0.4">
      <c r="A180" s="30">
        <f>급여대장!A180</f>
        <v>46235</v>
      </c>
      <c r="B180" s="17">
        <v>15</v>
      </c>
      <c r="C180" s="25" t="str">
        <f>급여대장!D180</f>
        <v>한결이</v>
      </c>
      <c r="D180" s="31">
        <f>직원정보!I19</f>
        <v>1</v>
      </c>
      <c r="E180" s="29">
        <f>급여대장!V180</f>
        <v>4035120</v>
      </c>
      <c r="F180" s="26">
        <f t="shared" si="20"/>
        <v>48421440</v>
      </c>
      <c r="G180" s="26">
        <f t="shared" si="21"/>
        <v>12171072</v>
      </c>
      <c r="H180" s="26">
        <f t="shared" si="22"/>
        <v>36250368</v>
      </c>
      <c r="I180" s="26">
        <f>D180*요율기준!$B$13</f>
        <v>1500000</v>
      </c>
      <c r="J180" s="29">
        <f>'4대보험'!F180*12</f>
        <v>2178960</v>
      </c>
      <c r="K180" s="26">
        <f t="shared" si="23"/>
        <v>5036857.5999999996</v>
      </c>
      <c r="L180" s="26">
        <f t="shared" si="24"/>
        <v>27534550.399999999</v>
      </c>
      <c r="M180" s="26">
        <f t="shared" si="25"/>
        <v>2870182.5599999996</v>
      </c>
      <c r="N180" s="26">
        <f t="shared" si="26"/>
        <v>660000</v>
      </c>
      <c r="O180" s="26">
        <f t="shared" si="27"/>
        <v>2210182.5599999996</v>
      </c>
      <c r="P180" s="28">
        <f t="shared" si="28"/>
        <v>184180</v>
      </c>
      <c r="Q180" s="28">
        <f>TRUNC(P180*요율기준!$B$12,-1)</f>
        <v>18410</v>
      </c>
      <c r="R180" s="28">
        <f t="shared" si="29"/>
        <v>202590</v>
      </c>
    </row>
    <row r="181" spans="1:18" x14ac:dyDescent="0.4">
      <c r="A181" s="30">
        <f>급여대장!A181</f>
        <v>46266</v>
      </c>
      <c r="B181" s="17">
        <v>15</v>
      </c>
      <c r="C181" s="25" t="str">
        <f>급여대장!D181</f>
        <v>한결이</v>
      </c>
      <c r="D181" s="31">
        <f>직원정보!I19</f>
        <v>1</v>
      </c>
      <c r="E181" s="29">
        <f>급여대장!V181</f>
        <v>4172919</v>
      </c>
      <c r="F181" s="26">
        <f t="shared" si="20"/>
        <v>50075028</v>
      </c>
      <c r="G181" s="26">
        <f t="shared" si="21"/>
        <v>12253751.4</v>
      </c>
      <c r="H181" s="26">
        <f t="shared" si="22"/>
        <v>37821276.600000001</v>
      </c>
      <c r="I181" s="26">
        <f>D181*요율기준!$B$13</f>
        <v>1500000</v>
      </c>
      <c r="J181" s="29">
        <f>'4대보험'!F181*12</f>
        <v>2253360</v>
      </c>
      <c r="K181" s="26">
        <f t="shared" si="23"/>
        <v>5103001.12</v>
      </c>
      <c r="L181" s="26">
        <f t="shared" si="24"/>
        <v>28964915.48</v>
      </c>
      <c r="M181" s="26">
        <f t="shared" si="25"/>
        <v>3084737.3220000002</v>
      </c>
      <c r="N181" s="26">
        <f t="shared" si="26"/>
        <v>660000</v>
      </c>
      <c r="O181" s="26">
        <f t="shared" si="27"/>
        <v>2424737.3220000002</v>
      </c>
      <c r="P181" s="28">
        <f t="shared" si="28"/>
        <v>202060</v>
      </c>
      <c r="Q181" s="28">
        <f>TRUNC(P181*요율기준!$B$12,-1)</f>
        <v>20200</v>
      </c>
      <c r="R181" s="28">
        <f t="shared" si="29"/>
        <v>222260</v>
      </c>
    </row>
    <row r="182" spans="1:18" x14ac:dyDescent="0.4">
      <c r="A182" s="30">
        <f>급여대장!A182</f>
        <v>46296</v>
      </c>
      <c r="B182" s="17">
        <v>15</v>
      </c>
      <c r="C182" s="25" t="str">
        <f>급여대장!D182</f>
        <v>한결이</v>
      </c>
      <c r="D182" s="31">
        <f>직원정보!I19</f>
        <v>1</v>
      </c>
      <c r="E182" s="29">
        <f>급여대장!V182</f>
        <v>4310718</v>
      </c>
      <c r="F182" s="26">
        <f t="shared" si="20"/>
        <v>51728616</v>
      </c>
      <c r="G182" s="26">
        <f t="shared" si="21"/>
        <v>12336430.800000001</v>
      </c>
      <c r="H182" s="26">
        <f t="shared" si="22"/>
        <v>39392185.200000003</v>
      </c>
      <c r="I182" s="26">
        <f>D182*요율기준!$B$13</f>
        <v>1500000</v>
      </c>
      <c r="J182" s="29">
        <f>'4대보험'!F182*12</f>
        <v>2327760</v>
      </c>
      <c r="K182" s="26">
        <f t="shared" si="23"/>
        <v>5169144.6400000006</v>
      </c>
      <c r="L182" s="26">
        <f t="shared" si="24"/>
        <v>30395280.560000002</v>
      </c>
      <c r="M182" s="26">
        <f t="shared" si="25"/>
        <v>3299292.0840000003</v>
      </c>
      <c r="N182" s="26">
        <f t="shared" si="26"/>
        <v>660000</v>
      </c>
      <c r="O182" s="26">
        <f t="shared" si="27"/>
        <v>2639292.0840000003</v>
      </c>
      <c r="P182" s="28">
        <f t="shared" si="28"/>
        <v>219940</v>
      </c>
      <c r="Q182" s="28">
        <f>TRUNC(P182*요율기준!$B$12,-1)</f>
        <v>21990</v>
      </c>
      <c r="R182" s="28">
        <f t="shared" si="29"/>
        <v>241930</v>
      </c>
    </row>
    <row r="183" spans="1:18" x14ac:dyDescent="0.4">
      <c r="A183" s="30">
        <f>급여대장!A183</f>
        <v>46327</v>
      </c>
      <c r="B183" s="17">
        <v>15</v>
      </c>
      <c r="C183" s="25" t="str">
        <f>급여대장!D183</f>
        <v>한결이</v>
      </c>
      <c r="D183" s="31">
        <f>직원정보!I19</f>
        <v>1</v>
      </c>
      <c r="E183" s="29">
        <f>급여대장!V183</f>
        <v>4356651</v>
      </c>
      <c r="F183" s="26">
        <f t="shared" si="20"/>
        <v>52279812</v>
      </c>
      <c r="G183" s="26">
        <f t="shared" si="21"/>
        <v>12363990.6</v>
      </c>
      <c r="H183" s="26">
        <f t="shared" si="22"/>
        <v>39915821.399999999</v>
      </c>
      <c r="I183" s="26">
        <f>D183*요율기준!$B$13</f>
        <v>1500000</v>
      </c>
      <c r="J183" s="29">
        <f>'4대보험'!F183*12</f>
        <v>2352480</v>
      </c>
      <c r="K183" s="26">
        <f t="shared" si="23"/>
        <v>5191192.4800000004</v>
      </c>
      <c r="L183" s="26">
        <f t="shared" si="24"/>
        <v>30872148.919999998</v>
      </c>
      <c r="M183" s="26">
        <f t="shared" si="25"/>
        <v>3370822.3379999995</v>
      </c>
      <c r="N183" s="26">
        <f t="shared" si="26"/>
        <v>660000</v>
      </c>
      <c r="O183" s="26">
        <f t="shared" si="27"/>
        <v>2710822.3379999995</v>
      </c>
      <c r="P183" s="28">
        <f t="shared" si="28"/>
        <v>225900</v>
      </c>
      <c r="Q183" s="28">
        <f>TRUNC(P183*요율기준!$B$12,-1)</f>
        <v>22590</v>
      </c>
      <c r="R183" s="28">
        <f t="shared" si="29"/>
        <v>248490</v>
      </c>
    </row>
    <row r="184" spans="1:18" x14ac:dyDescent="0.4">
      <c r="A184" s="30">
        <f>급여대장!A184</f>
        <v>46357</v>
      </c>
      <c r="B184" s="17">
        <v>15</v>
      </c>
      <c r="C184" s="25" t="str">
        <f>급여대장!D184</f>
        <v>한결이</v>
      </c>
      <c r="D184" s="31">
        <f>직원정보!I19</f>
        <v>1</v>
      </c>
      <c r="E184" s="29">
        <f>급여대장!V184</f>
        <v>3920287</v>
      </c>
      <c r="F184" s="26">
        <f t="shared" si="20"/>
        <v>47043444</v>
      </c>
      <c r="G184" s="26">
        <f t="shared" si="21"/>
        <v>12102172.199999999</v>
      </c>
      <c r="H184" s="26">
        <f t="shared" si="22"/>
        <v>34941271.799999997</v>
      </c>
      <c r="I184" s="26">
        <f>D184*요율기준!$B$13</f>
        <v>1500000</v>
      </c>
      <c r="J184" s="29">
        <f>'4대보험'!F184*12</f>
        <v>2116920</v>
      </c>
      <c r="K184" s="26">
        <f t="shared" si="23"/>
        <v>4981737.76</v>
      </c>
      <c r="L184" s="26">
        <f t="shared" si="24"/>
        <v>26342614.039999999</v>
      </c>
      <c r="M184" s="26">
        <f t="shared" si="25"/>
        <v>2691392.1059999997</v>
      </c>
      <c r="N184" s="26">
        <f t="shared" si="26"/>
        <v>660000</v>
      </c>
      <c r="O184" s="26">
        <f t="shared" si="27"/>
        <v>2031392.1059999997</v>
      </c>
      <c r="P184" s="28">
        <f t="shared" si="28"/>
        <v>169280</v>
      </c>
      <c r="Q184" s="28">
        <f>TRUNC(P184*요율기준!$B$12,-1)</f>
        <v>16920</v>
      </c>
      <c r="R184" s="28">
        <f t="shared" si="29"/>
        <v>186200</v>
      </c>
    </row>
    <row r="185" spans="1:18" x14ac:dyDescent="0.4">
      <c r="A185" s="30">
        <f>급여대장!A185</f>
        <v>46023</v>
      </c>
      <c r="B185" s="17">
        <v>16</v>
      </c>
      <c r="C185" s="25" t="str">
        <f>급여대장!D185</f>
        <v>슬기론</v>
      </c>
      <c r="D185" s="31">
        <f>직원정보!I20</f>
        <v>1</v>
      </c>
      <c r="E185" s="29">
        <f>급여대장!V185</f>
        <v>3912632</v>
      </c>
      <c r="F185" s="26">
        <f t="shared" si="20"/>
        <v>46951584</v>
      </c>
      <c r="G185" s="26">
        <f t="shared" si="21"/>
        <v>12097579.199999999</v>
      </c>
      <c r="H185" s="26">
        <f t="shared" si="22"/>
        <v>34854004.799999997</v>
      </c>
      <c r="I185" s="26">
        <f>D185*요율기준!$B$13</f>
        <v>1500000</v>
      </c>
      <c r="J185" s="29">
        <f>'4대보험'!F185*12</f>
        <v>2112720</v>
      </c>
      <c r="K185" s="26">
        <f t="shared" si="23"/>
        <v>4978063.3600000003</v>
      </c>
      <c r="L185" s="26">
        <f t="shared" si="24"/>
        <v>26263221.439999998</v>
      </c>
      <c r="M185" s="26">
        <f t="shared" si="25"/>
        <v>2679483.2159999995</v>
      </c>
      <c r="N185" s="26">
        <f t="shared" si="26"/>
        <v>660000</v>
      </c>
      <c r="O185" s="26">
        <f t="shared" si="27"/>
        <v>2019483.2159999995</v>
      </c>
      <c r="P185" s="28">
        <f t="shared" si="28"/>
        <v>168290</v>
      </c>
      <c r="Q185" s="28">
        <f>TRUNC(P185*요율기준!$B$12,-1)</f>
        <v>16820</v>
      </c>
      <c r="R185" s="28">
        <f t="shared" si="29"/>
        <v>185110</v>
      </c>
    </row>
    <row r="186" spans="1:18" x14ac:dyDescent="0.4">
      <c r="A186" s="30">
        <f>급여대장!A186</f>
        <v>46054</v>
      </c>
      <c r="B186" s="17">
        <v>16</v>
      </c>
      <c r="C186" s="25" t="str">
        <f>급여대장!D186</f>
        <v>슬기론</v>
      </c>
      <c r="D186" s="31">
        <f>직원정보!I20</f>
        <v>1</v>
      </c>
      <c r="E186" s="29">
        <f>급여대장!V186</f>
        <v>3958565</v>
      </c>
      <c r="F186" s="26">
        <f t="shared" si="20"/>
        <v>47502780</v>
      </c>
      <c r="G186" s="26">
        <f t="shared" si="21"/>
        <v>12125139</v>
      </c>
      <c r="H186" s="26">
        <f t="shared" si="22"/>
        <v>35377641</v>
      </c>
      <c r="I186" s="26">
        <f>D186*요율기준!$B$13</f>
        <v>1500000</v>
      </c>
      <c r="J186" s="29">
        <f>'4대보험'!F186*12</f>
        <v>2137560</v>
      </c>
      <c r="K186" s="26">
        <f t="shared" si="23"/>
        <v>5000111.2</v>
      </c>
      <c r="L186" s="26">
        <f t="shared" si="24"/>
        <v>26739969.800000001</v>
      </c>
      <c r="M186" s="26">
        <f t="shared" si="25"/>
        <v>2750995.4699999997</v>
      </c>
      <c r="N186" s="26">
        <f t="shared" si="26"/>
        <v>660000</v>
      </c>
      <c r="O186" s="26">
        <f t="shared" si="27"/>
        <v>2090995.4699999997</v>
      </c>
      <c r="P186" s="28">
        <f t="shared" si="28"/>
        <v>174240</v>
      </c>
      <c r="Q186" s="28">
        <f>TRUNC(P186*요율기준!$B$12,-1)</f>
        <v>17420</v>
      </c>
      <c r="R186" s="28">
        <f t="shared" si="29"/>
        <v>191660</v>
      </c>
    </row>
    <row r="187" spans="1:18" x14ac:dyDescent="0.4">
      <c r="A187" s="30">
        <f>급여대장!A187</f>
        <v>46082</v>
      </c>
      <c r="B187" s="17">
        <v>16</v>
      </c>
      <c r="C187" s="25" t="str">
        <f>급여대장!D187</f>
        <v>슬기론</v>
      </c>
      <c r="D187" s="31">
        <f>직원정보!I20</f>
        <v>1</v>
      </c>
      <c r="E187" s="29">
        <f>급여대장!V187</f>
        <v>4096364</v>
      </c>
      <c r="F187" s="26">
        <f t="shared" si="20"/>
        <v>49156368</v>
      </c>
      <c r="G187" s="26">
        <f t="shared" si="21"/>
        <v>12207818.4</v>
      </c>
      <c r="H187" s="26">
        <f t="shared" si="22"/>
        <v>36948549.600000001</v>
      </c>
      <c r="I187" s="26">
        <f>D187*요율기준!$B$13</f>
        <v>1500000</v>
      </c>
      <c r="J187" s="29">
        <f>'4대보험'!F187*12</f>
        <v>2211960</v>
      </c>
      <c r="K187" s="26">
        <f t="shared" si="23"/>
        <v>5066254.72</v>
      </c>
      <c r="L187" s="26">
        <f t="shared" si="24"/>
        <v>28170334.880000003</v>
      </c>
      <c r="M187" s="26">
        <f t="shared" si="25"/>
        <v>2965550.2320000003</v>
      </c>
      <c r="N187" s="26">
        <f t="shared" si="26"/>
        <v>660000</v>
      </c>
      <c r="O187" s="26">
        <f t="shared" si="27"/>
        <v>2305550.2320000003</v>
      </c>
      <c r="P187" s="28">
        <f t="shared" si="28"/>
        <v>192120</v>
      </c>
      <c r="Q187" s="28">
        <f>TRUNC(P187*요율기준!$B$12,-1)</f>
        <v>19210</v>
      </c>
      <c r="R187" s="28">
        <f t="shared" si="29"/>
        <v>211330</v>
      </c>
    </row>
    <row r="188" spans="1:18" x14ac:dyDescent="0.4">
      <c r="A188" s="30">
        <f>급여대장!A188</f>
        <v>46113</v>
      </c>
      <c r="B188" s="17">
        <v>16</v>
      </c>
      <c r="C188" s="25" t="str">
        <f>급여대장!D188</f>
        <v>슬기론</v>
      </c>
      <c r="D188" s="31">
        <f>직원정보!I20</f>
        <v>1</v>
      </c>
      <c r="E188" s="29">
        <f>급여대장!V188</f>
        <v>4234163</v>
      </c>
      <c r="F188" s="26">
        <f t="shared" si="20"/>
        <v>50809956</v>
      </c>
      <c r="G188" s="26">
        <f t="shared" si="21"/>
        <v>12290497.800000001</v>
      </c>
      <c r="H188" s="26">
        <f t="shared" si="22"/>
        <v>38519458.200000003</v>
      </c>
      <c r="I188" s="26">
        <f>D188*요율기준!$B$13</f>
        <v>1500000</v>
      </c>
      <c r="J188" s="29">
        <f>'4대보험'!F188*12</f>
        <v>2286360</v>
      </c>
      <c r="K188" s="26">
        <f t="shared" si="23"/>
        <v>5132398.24</v>
      </c>
      <c r="L188" s="26">
        <f t="shared" si="24"/>
        <v>29600699.960000001</v>
      </c>
      <c r="M188" s="26">
        <f t="shared" si="25"/>
        <v>3180104.9939999999</v>
      </c>
      <c r="N188" s="26">
        <f t="shared" si="26"/>
        <v>660000</v>
      </c>
      <c r="O188" s="26">
        <f t="shared" si="27"/>
        <v>2520104.9939999999</v>
      </c>
      <c r="P188" s="28">
        <f t="shared" si="28"/>
        <v>210000</v>
      </c>
      <c r="Q188" s="28">
        <f>TRUNC(P188*요율기준!$B$12,-1)</f>
        <v>21000</v>
      </c>
      <c r="R188" s="28">
        <f t="shared" si="29"/>
        <v>231000</v>
      </c>
    </row>
    <row r="189" spans="1:18" x14ac:dyDescent="0.4">
      <c r="A189" s="30">
        <f>급여대장!A189</f>
        <v>46143</v>
      </c>
      <c r="B189" s="17">
        <v>16</v>
      </c>
      <c r="C189" s="25" t="str">
        <f>급여대장!D189</f>
        <v>슬기론</v>
      </c>
      <c r="D189" s="31">
        <f>직원정보!I20</f>
        <v>1</v>
      </c>
      <c r="E189" s="29">
        <f>급여대장!V189</f>
        <v>4371962</v>
      </c>
      <c r="F189" s="26">
        <f t="shared" si="20"/>
        <v>52463544</v>
      </c>
      <c r="G189" s="26">
        <f t="shared" si="21"/>
        <v>12373177.199999999</v>
      </c>
      <c r="H189" s="26">
        <f t="shared" si="22"/>
        <v>40090366.799999997</v>
      </c>
      <c r="I189" s="26">
        <f>D189*요율기준!$B$13</f>
        <v>1500000</v>
      </c>
      <c r="J189" s="29">
        <f>'4대보험'!F189*12</f>
        <v>2360760</v>
      </c>
      <c r="K189" s="26">
        <f t="shared" si="23"/>
        <v>5198541.76</v>
      </c>
      <c r="L189" s="26">
        <f t="shared" si="24"/>
        <v>31031065.039999999</v>
      </c>
      <c r="M189" s="26">
        <f t="shared" si="25"/>
        <v>3394659.7559999996</v>
      </c>
      <c r="N189" s="26">
        <f t="shared" si="26"/>
        <v>660000</v>
      </c>
      <c r="O189" s="26">
        <f t="shared" si="27"/>
        <v>2734659.7559999996</v>
      </c>
      <c r="P189" s="28">
        <f t="shared" si="28"/>
        <v>227880</v>
      </c>
      <c r="Q189" s="28">
        <f>TRUNC(P189*요율기준!$B$12,-1)</f>
        <v>22780</v>
      </c>
      <c r="R189" s="28">
        <f t="shared" si="29"/>
        <v>250660</v>
      </c>
    </row>
    <row r="190" spans="1:18" x14ac:dyDescent="0.4">
      <c r="A190" s="30">
        <f>급여대장!A190</f>
        <v>46174</v>
      </c>
      <c r="B190" s="17">
        <v>16</v>
      </c>
      <c r="C190" s="25" t="str">
        <f>급여대장!D190</f>
        <v>슬기론</v>
      </c>
      <c r="D190" s="31">
        <f>직원정보!I20</f>
        <v>1</v>
      </c>
      <c r="E190" s="29">
        <f>급여대장!V190</f>
        <v>3843732</v>
      </c>
      <c r="F190" s="26">
        <f t="shared" si="20"/>
        <v>46124784</v>
      </c>
      <c r="G190" s="26">
        <f t="shared" si="21"/>
        <v>12056239.199999999</v>
      </c>
      <c r="H190" s="26">
        <f t="shared" si="22"/>
        <v>34068544.799999997</v>
      </c>
      <c r="I190" s="26">
        <f>D190*요율기준!$B$13</f>
        <v>1500000</v>
      </c>
      <c r="J190" s="29">
        <f>'4대보험'!F190*12</f>
        <v>2075520</v>
      </c>
      <c r="K190" s="26">
        <f t="shared" si="23"/>
        <v>4944991.3600000003</v>
      </c>
      <c r="L190" s="26">
        <f t="shared" si="24"/>
        <v>25548033.439999998</v>
      </c>
      <c r="M190" s="26">
        <f t="shared" si="25"/>
        <v>2572205.0159999998</v>
      </c>
      <c r="N190" s="26">
        <f t="shared" si="26"/>
        <v>660000</v>
      </c>
      <c r="O190" s="26">
        <f t="shared" si="27"/>
        <v>1912205.0159999998</v>
      </c>
      <c r="P190" s="28">
        <f t="shared" si="28"/>
        <v>159350</v>
      </c>
      <c r="Q190" s="28">
        <f>TRUNC(P190*요율기준!$B$12,-1)</f>
        <v>15930</v>
      </c>
      <c r="R190" s="28">
        <f t="shared" si="29"/>
        <v>175280</v>
      </c>
    </row>
    <row r="191" spans="1:18" x14ac:dyDescent="0.4">
      <c r="A191" s="30">
        <f>급여대장!A191</f>
        <v>46204</v>
      </c>
      <c r="B191" s="17">
        <v>16</v>
      </c>
      <c r="C191" s="25" t="str">
        <f>급여대장!D191</f>
        <v>슬기론</v>
      </c>
      <c r="D191" s="31">
        <f>직원정보!I20</f>
        <v>1</v>
      </c>
      <c r="E191" s="29">
        <f>급여대장!V191</f>
        <v>3981532</v>
      </c>
      <c r="F191" s="26">
        <f t="shared" si="20"/>
        <v>47778384</v>
      </c>
      <c r="G191" s="26">
        <f t="shared" si="21"/>
        <v>12138919.199999999</v>
      </c>
      <c r="H191" s="26">
        <f t="shared" si="22"/>
        <v>35639464.799999997</v>
      </c>
      <c r="I191" s="26">
        <f>D191*요율기준!$B$13</f>
        <v>1500000</v>
      </c>
      <c r="J191" s="29">
        <f>'4대보험'!F191*12</f>
        <v>2149920</v>
      </c>
      <c r="K191" s="26">
        <f t="shared" si="23"/>
        <v>5011135.3600000003</v>
      </c>
      <c r="L191" s="26">
        <f t="shared" si="24"/>
        <v>26978409.439999998</v>
      </c>
      <c r="M191" s="26">
        <f t="shared" si="25"/>
        <v>2786761.4159999993</v>
      </c>
      <c r="N191" s="26">
        <f t="shared" si="26"/>
        <v>660000</v>
      </c>
      <c r="O191" s="26">
        <f t="shared" si="27"/>
        <v>2126761.4159999993</v>
      </c>
      <c r="P191" s="28">
        <f t="shared" si="28"/>
        <v>177230</v>
      </c>
      <c r="Q191" s="28">
        <f>TRUNC(P191*요율기준!$B$12,-1)</f>
        <v>17720</v>
      </c>
      <c r="R191" s="28">
        <f t="shared" si="29"/>
        <v>194950</v>
      </c>
    </row>
    <row r="192" spans="1:18" x14ac:dyDescent="0.4">
      <c r="A192" s="30">
        <f>급여대장!A192</f>
        <v>46235</v>
      </c>
      <c r="B192" s="17">
        <v>16</v>
      </c>
      <c r="C192" s="25" t="str">
        <f>급여대장!D192</f>
        <v>슬기론</v>
      </c>
      <c r="D192" s="31">
        <f>직원정보!I20</f>
        <v>1</v>
      </c>
      <c r="E192" s="29">
        <f>급여대장!V192</f>
        <v>4119330</v>
      </c>
      <c r="F192" s="26">
        <f t="shared" si="20"/>
        <v>49431960</v>
      </c>
      <c r="G192" s="26">
        <f t="shared" si="21"/>
        <v>12221598</v>
      </c>
      <c r="H192" s="26">
        <f t="shared" si="22"/>
        <v>37210362</v>
      </c>
      <c r="I192" s="26">
        <f>D192*요율기준!$B$13</f>
        <v>1500000</v>
      </c>
      <c r="J192" s="29">
        <f>'4대보험'!F192*12</f>
        <v>2224320</v>
      </c>
      <c r="K192" s="26">
        <f t="shared" si="23"/>
        <v>5077278.4000000004</v>
      </c>
      <c r="L192" s="26">
        <f t="shared" si="24"/>
        <v>28408763.600000001</v>
      </c>
      <c r="M192" s="26">
        <f t="shared" si="25"/>
        <v>3001314.54</v>
      </c>
      <c r="N192" s="26">
        <f t="shared" si="26"/>
        <v>660000</v>
      </c>
      <c r="O192" s="26">
        <f t="shared" si="27"/>
        <v>2341314.54</v>
      </c>
      <c r="P192" s="28">
        <f t="shared" si="28"/>
        <v>195100</v>
      </c>
      <c r="Q192" s="28">
        <f>TRUNC(P192*요율기준!$B$12,-1)</f>
        <v>19510</v>
      </c>
      <c r="R192" s="28">
        <f t="shared" si="29"/>
        <v>214610</v>
      </c>
    </row>
    <row r="193" spans="1:18" x14ac:dyDescent="0.4">
      <c r="A193" s="30">
        <f>급여대장!A193</f>
        <v>46266</v>
      </c>
      <c r="B193" s="17">
        <v>16</v>
      </c>
      <c r="C193" s="25" t="str">
        <f>급여대장!D193</f>
        <v>슬기론</v>
      </c>
      <c r="D193" s="31">
        <f>직원정보!I20</f>
        <v>1</v>
      </c>
      <c r="E193" s="29">
        <f>급여대장!V193</f>
        <v>4257130</v>
      </c>
      <c r="F193" s="26">
        <f t="shared" si="20"/>
        <v>51085560</v>
      </c>
      <c r="G193" s="26">
        <f t="shared" si="21"/>
        <v>12304278</v>
      </c>
      <c r="H193" s="26">
        <f t="shared" si="22"/>
        <v>38781282</v>
      </c>
      <c r="I193" s="26">
        <f>D193*요율기준!$B$13</f>
        <v>1500000</v>
      </c>
      <c r="J193" s="29">
        <f>'4대보험'!F193*12</f>
        <v>2298840</v>
      </c>
      <c r="K193" s="26">
        <f t="shared" si="23"/>
        <v>5143422.4000000004</v>
      </c>
      <c r="L193" s="26">
        <f t="shared" si="24"/>
        <v>29839019.600000001</v>
      </c>
      <c r="M193" s="26">
        <f t="shared" si="25"/>
        <v>3215852.94</v>
      </c>
      <c r="N193" s="26">
        <f t="shared" si="26"/>
        <v>660000</v>
      </c>
      <c r="O193" s="26">
        <f t="shared" si="27"/>
        <v>2555852.94</v>
      </c>
      <c r="P193" s="28">
        <f t="shared" si="28"/>
        <v>212980</v>
      </c>
      <c r="Q193" s="28">
        <f>TRUNC(P193*요율기준!$B$12,-1)</f>
        <v>21290</v>
      </c>
      <c r="R193" s="28">
        <f t="shared" si="29"/>
        <v>234270</v>
      </c>
    </row>
    <row r="194" spans="1:18" x14ac:dyDescent="0.4">
      <c r="A194" s="30">
        <f>급여대장!A194</f>
        <v>46296</v>
      </c>
      <c r="B194" s="17">
        <v>16</v>
      </c>
      <c r="C194" s="25" t="str">
        <f>급여대장!D194</f>
        <v>슬기론</v>
      </c>
      <c r="D194" s="31">
        <f>직원정보!I20</f>
        <v>1</v>
      </c>
      <c r="E194" s="29">
        <f>급여대장!V194</f>
        <v>4303062</v>
      </c>
      <c r="F194" s="26">
        <f t="shared" si="20"/>
        <v>51636744</v>
      </c>
      <c r="G194" s="26">
        <f t="shared" si="21"/>
        <v>12331837.199999999</v>
      </c>
      <c r="H194" s="26">
        <f t="shared" si="22"/>
        <v>39304906.799999997</v>
      </c>
      <c r="I194" s="26">
        <f>D194*요율기준!$B$13</f>
        <v>1500000</v>
      </c>
      <c r="J194" s="29">
        <f>'4대보험'!F194*12</f>
        <v>2323560</v>
      </c>
      <c r="K194" s="26">
        <f t="shared" si="23"/>
        <v>5165469.76</v>
      </c>
      <c r="L194" s="26">
        <f t="shared" si="24"/>
        <v>30315877.039999999</v>
      </c>
      <c r="M194" s="26">
        <f t="shared" si="25"/>
        <v>3287381.5559999999</v>
      </c>
      <c r="N194" s="26">
        <f t="shared" si="26"/>
        <v>660000</v>
      </c>
      <c r="O194" s="26">
        <f t="shared" si="27"/>
        <v>2627381.5559999999</v>
      </c>
      <c r="P194" s="28">
        <f t="shared" si="28"/>
        <v>218940</v>
      </c>
      <c r="Q194" s="28">
        <f>TRUNC(P194*요율기준!$B$12,-1)</f>
        <v>21890</v>
      </c>
      <c r="R194" s="28">
        <f t="shared" si="29"/>
        <v>240830</v>
      </c>
    </row>
    <row r="195" spans="1:18" x14ac:dyDescent="0.4">
      <c r="A195" s="30">
        <f>급여대장!A195</f>
        <v>46327</v>
      </c>
      <c r="B195" s="17">
        <v>16</v>
      </c>
      <c r="C195" s="25" t="str">
        <f>급여대장!D195</f>
        <v>슬기론</v>
      </c>
      <c r="D195" s="31">
        <f>직원정보!I20</f>
        <v>1</v>
      </c>
      <c r="E195" s="29">
        <f>급여대장!V195</f>
        <v>3866699</v>
      </c>
      <c r="F195" s="26">
        <f t="shared" si="20"/>
        <v>46400388</v>
      </c>
      <c r="G195" s="26">
        <f t="shared" si="21"/>
        <v>12070019.4</v>
      </c>
      <c r="H195" s="26">
        <f t="shared" si="22"/>
        <v>34330368.600000001</v>
      </c>
      <c r="I195" s="26">
        <f>D195*요율기준!$B$13</f>
        <v>1500000</v>
      </c>
      <c r="J195" s="29">
        <f>'4대보험'!F195*12</f>
        <v>2088000</v>
      </c>
      <c r="K195" s="26">
        <f t="shared" si="23"/>
        <v>4956015.5199999996</v>
      </c>
      <c r="L195" s="26">
        <f t="shared" si="24"/>
        <v>25786353.080000002</v>
      </c>
      <c r="M195" s="26">
        <f t="shared" si="25"/>
        <v>2607952.9620000003</v>
      </c>
      <c r="N195" s="26">
        <f t="shared" si="26"/>
        <v>660000</v>
      </c>
      <c r="O195" s="26">
        <f t="shared" si="27"/>
        <v>1947952.9620000003</v>
      </c>
      <c r="P195" s="28">
        <f t="shared" si="28"/>
        <v>162320</v>
      </c>
      <c r="Q195" s="28">
        <f>TRUNC(P195*요율기준!$B$12,-1)</f>
        <v>16230</v>
      </c>
      <c r="R195" s="28">
        <f t="shared" si="29"/>
        <v>178550</v>
      </c>
    </row>
    <row r="196" spans="1:18" x14ac:dyDescent="0.4">
      <c r="A196" s="30">
        <f>급여대장!A196</f>
        <v>46357</v>
      </c>
      <c r="B196" s="17">
        <v>16</v>
      </c>
      <c r="C196" s="25" t="str">
        <f>급여대장!D196</f>
        <v>슬기론</v>
      </c>
      <c r="D196" s="31">
        <f>직원정보!I20</f>
        <v>1</v>
      </c>
      <c r="E196" s="29">
        <f>급여대장!V196</f>
        <v>4004498</v>
      </c>
      <c r="F196" s="26">
        <f t="shared" si="20"/>
        <v>48053976</v>
      </c>
      <c r="G196" s="26">
        <f t="shared" si="21"/>
        <v>12152698.800000001</v>
      </c>
      <c r="H196" s="26">
        <f t="shared" si="22"/>
        <v>35901277.200000003</v>
      </c>
      <c r="I196" s="26">
        <f>D196*요율기준!$B$13</f>
        <v>1500000</v>
      </c>
      <c r="J196" s="29">
        <f>'4대보험'!F196*12</f>
        <v>2162400</v>
      </c>
      <c r="K196" s="26">
        <f t="shared" si="23"/>
        <v>5022159.04</v>
      </c>
      <c r="L196" s="26">
        <f t="shared" si="24"/>
        <v>27216718.160000004</v>
      </c>
      <c r="M196" s="26">
        <f t="shared" si="25"/>
        <v>2822507.7240000004</v>
      </c>
      <c r="N196" s="26">
        <f t="shared" si="26"/>
        <v>660000</v>
      </c>
      <c r="O196" s="26">
        <f t="shared" si="27"/>
        <v>2162507.7240000004</v>
      </c>
      <c r="P196" s="28">
        <f t="shared" si="28"/>
        <v>180200</v>
      </c>
      <c r="Q196" s="28">
        <f>TRUNC(P196*요율기준!$B$12,-1)</f>
        <v>18020</v>
      </c>
      <c r="R196" s="28">
        <f t="shared" si="29"/>
        <v>198220</v>
      </c>
    </row>
    <row r="197" spans="1:18" x14ac:dyDescent="0.4">
      <c r="A197" s="30">
        <f>급여대장!A197</f>
        <v>46023</v>
      </c>
      <c r="B197" s="17">
        <v>17</v>
      </c>
      <c r="C197" s="25" t="str">
        <f>급여대장!D197</f>
        <v>빛나라</v>
      </c>
      <c r="D197" s="31">
        <f>직원정보!I21</f>
        <v>1</v>
      </c>
      <c r="E197" s="29">
        <f>급여대장!V197</f>
        <v>3240000</v>
      </c>
      <c r="F197" s="26">
        <f t="shared" ref="F197:F260" si="30">E197*12</f>
        <v>38880000</v>
      </c>
      <c r="G197" s="26">
        <f t="shared" ref="G197:G260" si="31">MIN(20000000,IF(F197&lt;=5000000,F197*0.7,IF(F197&lt;=15000000,3500000+(F197-5000000)*0.4,IF(F197&lt;=45000000,7500000+(F197-15000000)*0.15,IF(F197&lt;=100000000,12000000+(F197-45000000)*0.05,14750000+(F197-100000000)*0.02)))))</f>
        <v>11082000</v>
      </c>
      <c r="H197" s="26">
        <f t="shared" ref="H197:H260" si="32">F197-G197</f>
        <v>27798000</v>
      </c>
      <c r="I197" s="26">
        <f>D197*요율기준!$B$13</f>
        <v>1500000</v>
      </c>
      <c r="J197" s="29">
        <f>'4대보험'!F197*12</f>
        <v>1749600</v>
      </c>
      <c r="K197" s="26">
        <f t="shared" ref="K197:K220" si="33">IF(D197=1,3100000+F197*0.04,IF(D197=2,3600000+F197*0.04,5000000+F197*0.07))</f>
        <v>4655200</v>
      </c>
      <c r="L197" s="26">
        <f t="shared" ref="L197:L260" si="34">MAX(0,H197-I197-J197-K197)</f>
        <v>19893200</v>
      </c>
      <c r="M197" s="26">
        <f t="shared" ref="M197:M260" si="35">IF(L197&lt;=14000000,L197*0.06,IF(L197&lt;=50000000,840000+(L197-14000000)*0.15,IF(L197&lt;=88000000,6240000+(L197-50000000)*0.24,IF(L197&lt;=150000000,15360000+(L197-88000000)*0.35,IF(L197&lt;=300000000,37060000+(L197-150000000)*0.38,IF(L197&lt;=500000000,94060000+(L197-300000000)*0.4,IF(L197&lt;=1000000000,174060000+(L197-500000000)*0.42,384060000+(L197-1000000000)*0.45)))))))</f>
        <v>1723980</v>
      </c>
      <c r="N197" s="26">
        <f t="shared" ref="N197:N260" si="36">MIN(IF(M197&lt;=1300000,M197*0.55,715000+(M197-1300000)*0.3),IF(F197&lt;=33000000,740000,IF(F197&lt;=70000000,MAX(660000,740000-(F197-33000000)*0.008),MAX(500000,660000-(F197-70000000)*0.5))))</f>
        <v>692960</v>
      </c>
      <c r="O197" s="26">
        <f t="shared" ref="O197:O260" si="37">MAX(0,M197-N197)</f>
        <v>1031020</v>
      </c>
      <c r="P197" s="28">
        <f t="shared" ref="P197:P260" si="38">TRUNC(O197/12,-1)</f>
        <v>85910</v>
      </c>
      <c r="Q197" s="28">
        <f>TRUNC(P197*요율기준!$B$12,-1)</f>
        <v>8590</v>
      </c>
      <c r="R197" s="28">
        <f t="shared" ref="R197:R260" si="39">P197+Q197</f>
        <v>94500</v>
      </c>
    </row>
    <row r="198" spans="1:18" x14ac:dyDescent="0.4">
      <c r="A198" s="30">
        <f>급여대장!A198</f>
        <v>46054</v>
      </c>
      <c r="B198" s="17">
        <v>17</v>
      </c>
      <c r="C198" s="25" t="str">
        <f>급여대장!D198</f>
        <v>빛나라</v>
      </c>
      <c r="D198" s="31">
        <f>직원정보!I21</f>
        <v>1</v>
      </c>
      <c r="E198" s="29">
        <f>급여대장!V198</f>
        <v>3323256</v>
      </c>
      <c r="F198" s="26">
        <f t="shared" si="30"/>
        <v>39879072</v>
      </c>
      <c r="G198" s="26">
        <f t="shared" si="31"/>
        <v>11231860.800000001</v>
      </c>
      <c r="H198" s="26">
        <f t="shared" si="32"/>
        <v>28647211.199999999</v>
      </c>
      <c r="I198" s="26">
        <f>D198*요율기준!$B$13</f>
        <v>1500000</v>
      </c>
      <c r="J198" s="29">
        <f>'4대보험'!F198*12</f>
        <v>1794480</v>
      </c>
      <c r="K198" s="26">
        <f t="shared" si="33"/>
        <v>4695162.8799999999</v>
      </c>
      <c r="L198" s="26">
        <f t="shared" si="34"/>
        <v>20657568.32</v>
      </c>
      <c r="M198" s="26">
        <f t="shared" si="35"/>
        <v>1838635.2480000001</v>
      </c>
      <c r="N198" s="26">
        <f t="shared" si="36"/>
        <v>684967.424</v>
      </c>
      <c r="O198" s="26">
        <f t="shared" si="37"/>
        <v>1153667.824</v>
      </c>
      <c r="P198" s="28">
        <f t="shared" si="38"/>
        <v>96130</v>
      </c>
      <c r="Q198" s="28">
        <f>TRUNC(P198*요율기준!$B$12,-1)</f>
        <v>9610</v>
      </c>
      <c r="R198" s="28">
        <f t="shared" si="39"/>
        <v>105740</v>
      </c>
    </row>
    <row r="199" spans="1:18" x14ac:dyDescent="0.4">
      <c r="A199" s="30">
        <f>급여대장!A199</f>
        <v>46082</v>
      </c>
      <c r="B199" s="17">
        <v>17</v>
      </c>
      <c r="C199" s="25" t="str">
        <f>급여대장!D199</f>
        <v>빛나라</v>
      </c>
      <c r="D199" s="31">
        <f>직원정보!I21</f>
        <v>1</v>
      </c>
      <c r="E199" s="29">
        <f>급여대장!V199</f>
        <v>3240000</v>
      </c>
      <c r="F199" s="26">
        <f t="shared" si="30"/>
        <v>38880000</v>
      </c>
      <c r="G199" s="26">
        <f t="shared" si="31"/>
        <v>11082000</v>
      </c>
      <c r="H199" s="26">
        <f t="shared" si="32"/>
        <v>27798000</v>
      </c>
      <c r="I199" s="26">
        <f>D199*요율기준!$B$13</f>
        <v>1500000</v>
      </c>
      <c r="J199" s="29">
        <f>'4대보험'!F199*12</f>
        <v>1749600</v>
      </c>
      <c r="K199" s="26">
        <f t="shared" si="33"/>
        <v>4655200</v>
      </c>
      <c r="L199" s="26">
        <f t="shared" si="34"/>
        <v>19893200</v>
      </c>
      <c r="M199" s="26">
        <f t="shared" si="35"/>
        <v>1723980</v>
      </c>
      <c r="N199" s="26">
        <f t="shared" si="36"/>
        <v>692960</v>
      </c>
      <c r="O199" s="26">
        <f t="shared" si="37"/>
        <v>1031020</v>
      </c>
      <c r="P199" s="28">
        <f t="shared" si="38"/>
        <v>85910</v>
      </c>
      <c r="Q199" s="28">
        <f>TRUNC(P199*요율기준!$B$12,-1)</f>
        <v>8590</v>
      </c>
      <c r="R199" s="28">
        <f t="shared" si="39"/>
        <v>94500</v>
      </c>
    </row>
    <row r="200" spans="1:18" x14ac:dyDescent="0.4">
      <c r="A200" s="30">
        <f>급여대장!A200</f>
        <v>46113</v>
      </c>
      <c r="B200" s="17">
        <v>17</v>
      </c>
      <c r="C200" s="25" t="str">
        <f>급여대장!D200</f>
        <v>빛나라</v>
      </c>
      <c r="D200" s="31">
        <f>직원정보!I21</f>
        <v>1</v>
      </c>
      <c r="E200" s="29">
        <f>급여대장!V200</f>
        <v>3323256</v>
      </c>
      <c r="F200" s="26">
        <f t="shared" si="30"/>
        <v>39879072</v>
      </c>
      <c r="G200" s="26">
        <f t="shared" si="31"/>
        <v>11231860.800000001</v>
      </c>
      <c r="H200" s="26">
        <f t="shared" si="32"/>
        <v>28647211.199999999</v>
      </c>
      <c r="I200" s="26">
        <f>D200*요율기준!$B$13</f>
        <v>1500000</v>
      </c>
      <c r="J200" s="29">
        <f>'4대보험'!F200*12</f>
        <v>1794480</v>
      </c>
      <c r="K200" s="26">
        <f t="shared" si="33"/>
        <v>4695162.8799999999</v>
      </c>
      <c r="L200" s="26">
        <f t="shared" si="34"/>
        <v>20657568.32</v>
      </c>
      <c r="M200" s="26">
        <f t="shared" si="35"/>
        <v>1838635.2480000001</v>
      </c>
      <c r="N200" s="26">
        <f t="shared" si="36"/>
        <v>684967.424</v>
      </c>
      <c r="O200" s="26">
        <f t="shared" si="37"/>
        <v>1153667.824</v>
      </c>
      <c r="P200" s="28">
        <f t="shared" si="38"/>
        <v>96130</v>
      </c>
      <c r="Q200" s="28">
        <f>TRUNC(P200*요율기준!$B$12,-1)</f>
        <v>9610</v>
      </c>
      <c r="R200" s="28">
        <f t="shared" si="39"/>
        <v>105740</v>
      </c>
    </row>
    <row r="201" spans="1:18" x14ac:dyDescent="0.4">
      <c r="A201" s="30">
        <f>급여대장!A201</f>
        <v>46143</v>
      </c>
      <c r="B201" s="17">
        <v>17</v>
      </c>
      <c r="C201" s="25" t="str">
        <f>급여대장!D201</f>
        <v>빛나라</v>
      </c>
      <c r="D201" s="31">
        <f>직원정보!I21</f>
        <v>1</v>
      </c>
      <c r="E201" s="29">
        <f>급여대장!V201</f>
        <v>3240000</v>
      </c>
      <c r="F201" s="26">
        <f t="shared" si="30"/>
        <v>38880000</v>
      </c>
      <c r="G201" s="26">
        <f t="shared" si="31"/>
        <v>11082000</v>
      </c>
      <c r="H201" s="26">
        <f t="shared" si="32"/>
        <v>27798000</v>
      </c>
      <c r="I201" s="26">
        <f>D201*요율기준!$B$13</f>
        <v>1500000</v>
      </c>
      <c r="J201" s="29">
        <f>'4대보험'!F201*12</f>
        <v>1749600</v>
      </c>
      <c r="K201" s="26">
        <f t="shared" si="33"/>
        <v>4655200</v>
      </c>
      <c r="L201" s="26">
        <f t="shared" si="34"/>
        <v>19893200</v>
      </c>
      <c r="M201" s="26">
        <f t="shared" si="35"/>
        <v>1723980</v>
      </c>
      <c r="N201" s="26">
        <f t="shared" si="36"/>
        <v>692960</v>
      </c>
      <c r="O201" s="26">
        <f t="shared" si="37"/>
        <v>1031020</v>
      </c>
      <c r="P201" s="28">
        <f t="shared" si="38"/>
        <v>85910</v>
      </c>
      <c r="Q201" s="28">
        <f>TRUNC(P201*요율기준!$B$12,-1)</f>
        <v>8590</v>
      </c>
      <c r="R201" s="28">
        <f t="shared" si="39"/>
        <v>94500</v>
      </c>
    </row>
    <row r="202" spans="1:18" x14ac:dyDescent="0.4">
      <c r="A202" s="30">
        <f>급여대장!A202</f>
        <v>46174</v>
      </c>
      <c r="B202" s="17">
        <v>17</v>
      </c>
      <c r="C202" s="25" t="str">
        <f>급여대장!D202</f>
        <v>빛나라</v>
      </c>
      <c r="D202" s="31">
        <f>직원정보!I21</f>
        <v>1</v>
      </c>
      <c r="E202" s="29">
        <f>급여대장!V202</f>
        <v>3323256</v>
      </c>
      <c r="F202" s="26">
        <f t="shared" si="30"/>
        <v>39879072</v>
      </c>
      <c r="G202" s="26">
        <f t="shared" si="31"/>
        <v>11231860.800000001</v>
      </c>
      <c r="H202" s="26">
        <f t="shared" si="32"/>
        <v>28647211.199999999</v>
      </c>
      <c r="I202" s="26">
        <f>D202*요율기준!$B$13</f>
        <v>1500000</v>
      </c>
      <c r="J202" s="29">
        <f>'4대보험'!F202*12</f>
        <v>1794480</v>
      </c>
      <c r="K202" s="26">
        <f t="shared" si="33"/>
        <v>4695162.8799999999</v>
      </c>
      <c r="L202" s="26">
        <f t="shared" si="34"/>
        <v>20657568.32</v>
      </c>
      <c r="M202" s="26">
        <f t="shared" si="35"/>
        <v>1838635.2480000001</v>
      </c>
      <c r="N202" s="26">
        <f t="shared" si="36"/>
        <v>684967.424</v>
      </c>
      <c r="O202" s="26">
        <f t="shared" si="37"/>
        <v>1153667.824</v>
      </c>
      <c r="P202" s="28">
        <f t="shared" si="38"/>
        <v>96130</v>
      </c>
      <c r="Q202" s="28">
        <f>TRUNC(P202*요율기준!$B$12,-1)</f>
        <v>9610</v>
      </c>
      <c r="R202" s="28">
        <f t="shared" si="39"/>
        <v>105740</v>
      </c>
    </row>
    <row r="203" spans="1:18" x14ac:dyDescent="0.4">
      <c r="A203" s="30">
        <f>급여대장!A203</f>
        <v>46204</v>
      </c>
      <c r="B203" s="17">
        <v>17</v>
      </c>
      <c r="C203" s="25" t="str">
        <f>급여대장!D203</f>
        <v>빛나라</v>
      </c>
      <c r="D203" s="31">
        <f>직원정보!I21</f>
        <v>1</v>
      </c>
      <c r="E203" s="29">
        <f>급여대장!V203</f>
        <v>3240000</v>
      </c>
      <c r="F203" s="26">
        <f t="shared" si="30"/>
        <v>38880000</v>
      </c>
      <c r="G203" s="26">
        <f t="shared" si="31"/>
        <v>11082000</v>
      </c>
      <c r="H203" s="26">
        <f t="shared" si="32"/>
        <v>27798000</v>
      </c>
      <c r="I203" s="26">
        <f>D203*요율기준!$B$13</f>
        <v>1500000</v>
      </c>
      <c r="J203" s="29">
        <f>'4대보험'!F203*12</f>
        <v>1749600</v>
      </c>
      <c r="K203" s="26">
        <f t="shared" si="33"/>
        <v>4655200</v>
      </c>
      <c r="L203" s="26">
        <f t="shared" si="34"/>
        <v>19893200</v>
      </c>
      <c r="M203" s="26">
        <f t="shared" si="35"/>
        <v>1723980</v>
      </c>
      <c r="N203" s="26">
        <f t="shared" si="36"/>
        <v>692960</v>
      </c>
      <c r="O203" s="26">
        <f t="shared" si="37"/>
        <v>1031020</v>
      </c>
      <c r="P203" s="28">
        <f t="shared" si="38"/>
        <v>85910</v>
      </c>
      <c r="Q203" s="28">
        <f>TRUNC(P203*요율기준!$B$12,-1)</f>
        <v>8590</v>
      </c>
      <c r="R203" s="28">
        <f t="shared" si="39"/>
        <v>94500</v>
      </c>
    </row>
    <row r="204" spans="1:18" x14ac:dyDescent="0.4">
      <c r="A204" s="30">
        <f>급여대장!A204</f>
        <v>46235</v>
      </c>
      <c r="B204" s="17">
        <v>17</v>
      </c>
      <c r="C204" s="25" t="str">
        <f>급여대장!D204</f>
        <v>빛나라</v>
      </c>
      <c r="D204" s="31">
        <f>직원정보!I21</f>
        <v>1</v>
      </c>
      <c r="E204" s="29">
        <f>급여대장!V204</f>
        <v>3323256</v>
      </c>
      <c r="F204" s="26">
        <f t="shared" si="30"/>
        <v>39879072</v>
      </c>
      <c r="G204" s="26">
        <f t="shared" si="31"/>
        <v>11231860.800000001</v>
      </c>
      <c r="H204" s="26">
        <f t="shared" si="32"/>
        <v>28647211.199999999</v>
      </c>
      <c r="I204" s="26">
        <f>D204*요율기준!$B$13</f>
        <v>1500000</v>
      </c>
      <c r="J204" s="29">
        <f>'4대보험'!F204*12</f>
        <v>1794480</v>
      </c>
      <c r="K204" s="26">
        <f t="shared" si="33"/>
        <v>4695162.8799999999</v>
      </c>
      <c r="L204" s="26">
        <f t="shared" si="34"/>
        <v>20657568.32</v>
      </c>
      <c r="M204" s="26">
        <f t="shared" si="35"/>
        <v>1838635.2480000001</v>
      </c>
      <c r="N204" s="26">
        <f t="shared" si="36"/>
        <v>684967.424</v>
      </c>
      <c r="O204" s="26">
        <f t="shared" si="37"/>
        <v>1153667.824</v>
      </c>
      <c r="P204" s="28">
        <f t="shared" si="38"/>
        <v>96130</v>
      </c>
      <c r="Q204" s="28">
        <f>TRUNC(P204*요율기준!$B$12,-1)</f>
        <v>9610</v>
      </c>
      <c r="R204" s="28">
        <f t="shared" si="39"/>
        <v>105740</v>
      </c>
    </row>
    <row r="205" spans="1:18" x14ac:dyDescent="0.4">
      <c r="A205" s="30">
        <f>급여대장!A205</f>
        <v>46266</v>
      </c>
      <c r="B205" s="17">
        <v>17</v>
      </c>
      <c r="C205" s="25" t="str">
        <f>급여대장!D205</f>
        <v>빛나라</v>
      </c>
      <c r="D205" s="31">
        <f>직원정보!I21</f>
        <v>1</v>
      </c>
      <c r="E205" s="29">
        <f>급여대장!V205</f>
        <v>3240000</v>
      </c>
      <c r="F205" s="26">
        <f t="shared" si="30"/>
        <v>38880000</v>
      </c>
      <c r="G205" s="26">
        <f t="shared" si="31"/>
        <v>11082000</v>
      </c>
      <c r="H205" s="26">
        <f t="shared" si="32"/>
        <v>27798000</v>
      </c>
      <c r="I205" s="26">
        <f>D205*요율기준!$B$13</f>
        <v>1500000</v>
      </c>
      <c r="J205" s="29">
        <f>'4대보험'!F205*12</f>
        <v>1749600</v>
      </c>
      <c r="K205" s="26">
        <f t="shared" si="33"/>
        <v>4655200</v>
      </c>
      <c r="L205" s="26">
        <f t="shared" si="34"/>
        <v>19893200</v>
      </c>
      <c r="M205" s="26">
        <f t="shared" si="35"/>
        <v>1723980</v>
      </c>
      <c r="N205" s="26">
        <f t="shared" si="36"/>
        <v>692960</v>
      </c>
      <c r="O205" s="26">
        <f t="shared" si="37"/>
        <v>1031020</v>
      </c>
      <c r="P205" s="28">
        <f t="shared" si="38"/>
        <v>85910</v>
      </c>
      <c r="Q205" s="28">
        <f>TRUNC(P205*요율기준!$B$12,-1)</f>
        <v>8590</v>
      </c>
      <c r="R205" s="28">
        <f t="shared" si="39"/>
        <v>94500</v>
      </c>
    </row>
    <row r="206" spans="1:18" x14ac:dyDescent="0.4">
      <c r="A206" s="30">
        <f>급여대장!A206</f>
        <v>46296</v>
      </c>
      <c r="B206" s="17">
        <v>17</v>
      </c>
      <c r="C206" s="25" t="str">
        <f>급여대장!D206</f>
        <v>빛나라</v>
      </c>
      <c r="D206" s="31">
        <f>직원정보!I21</f>
        <v>1</v>
      </c>
      <c r="E206" s="29">
        <f>급여대장!V206</f>
        <v>3323256</v>
      </c>
      <c r="F206" s="26">
        <f t="shared" si="30"/>
        <v>39879072</v>
      </c>
      <c r="G206" s="26">
        <f t="shared" si="31"/>
        <v>11231860.800000001</v>
      </c>
      <c r="H206" s="26">
        <f t="shared" si="32"/>
        <v>28647211.199999999</v>
      </c>
      <c r="I206" s="26">
        <f>D206*요율기준!$B$13</f>
        <v>1500000</v>
      </c>
      <c r="J206" s="29">
        <f>'4대보험'!F206*12</f>
        <v>1794480</v>
      </c>
      <c r="K206" s="26">
        <f t="shared" si="33"/>
        <v>4695162.8799999999</v>
      </c>
      <c r="L206" s="26">
        <f t="shared" si="34"/>
        <v>20657568.32</v>
      </c>
      <c r="M206" s="26">
        <f t="shared" si="35"/>
        <v>1838635.2480000001</v>
      </c>
      <c r="N206" s="26">
        <f t="shared" si="36"/>
        <v>684967.424</v>
      </c>
      <c r="O206" s="26">
        <f t="shared" si="37"/>
        <v>1153667.824</v>
      </c>
      <c r="P206" s="28">
        <f t="shared" si="38"/>
        <v>96130</v>
      </c>
      <c r="Q206" s="28">
        <f>TRUNC(P206*요율기준!$B$12,-1)</f>
        <v>9610</v>
      </c>
      <c r="R206" s="28">
        <f t="shared" si="39"/>
        <v>105740</v>
      </c>
    </row>
    <row r="207" spans="1:18" x14ac:dyDescent="0.4">
      <c r="A207" s="30">
        <f>급여대장!A207</f>
        <v>46327</v>
      </c>
      <c r="B207" s="17">
        <v>17</v>
      </c>
      <c r="C207" s="25" t="str">
        <f>급여대장!D207</f>
        <v>빛나라</v>
      </c>
      <c r="D207" s="31">
        <f>직원정보!I21</f>
        <v>1</v>
      </c>
      <c r="E207" s="29">
        <f>급여대장!V207</f>
        <v>3240000</v>
      </c>
      <c r="F207" s="26">
        <f t="shared" si="30"/>
        <v>38880000</v>
      </c>
      <c r="G207" s="26">
        <f t="shared" si="31"/>
        <v>11082000</v>
      </c>
      <c r="H207" s="26">
        <f t="shared" si="32"/>
        <v>27798000</v>
      </c>
      <c r="I207" s="26">
        <f>D207*요율기준!$B$13</f>
        <v>1500000</v>
      </c>
      <c r="J207" s="29">
        <f>'4대보험'!F207*12</f>
        <v>1749600</v>
      </c>
      <c r="K207" s="26">
        <f t="shared" si="33"/>
        <v>4655200</v>
      </c>
      <c r="L207" s="26">
        <f t="shared" si="34"/>
        <v>19893200</v>
      </c>
      <c r="M207" s="26">
        <f t="shared" si="35"/>
        <v>1723980</v>
      </c>
      <c r="N207" s="26">
        <f t="shared" si="36"/>
        <v>692960</v>
      </c>
      <c r="O207" s="26">
        <f t="shared" si="37"/>
        <v>1031020</v>
      </c>
      <c r="P207" s="28">
        <f t="shared" si="38"/>
        <v>85910</v>
      </c>
      <c r="Q207" s="28">
        <f>TRUNC(P207*요율기준!$B$12,-1)</f>
        <v>8590</v>
      </c>
      <c r="R207" s="28">
        <f t="shared" si="39"/>
        <v>94500</v>
      </c>
    </row>
    <row r="208" spans="1:18" x14ac:dyDescent="0.4">
      <c r="A208" s="30">
        <f>급여대장!A208</f>
        <v>46357</v>
      </c>
      <c r="B208" s="17">
        <v>17</v>
      </c>
      <c r="C208" s="25" t="str">
        <f>급여대장!D208</f>
        <v>빛나라</v>
      </c>
      <c r="D208" s="31">
        <f>직원정보!I21</f>
        <v>1</v>
      </c>
      <c r="E208" s="29">
        <f>급여대장!V208</f>
        <v>3323256</v>
      </c>
      <c r="F208" s="26">
        <f t="shared" si="30"/>
        <v>39879072</v>
      </c>
      <c r="G208" s="26">
        <f t="shared" si="31"/>
        <v>11231860.800000001</v>
      </c>
      <c r="H208" s="26">
        <f t="shared" si="32"/>
        <v>28647211.199999999</v>
      </c>
      <c r="I208" s="26">
        <f>D208*요율기준!$B$13</f>
        <v>1500000</v>
      </c>
      <c r="J208" s="29">
        <f>'4대보험'!F208*12</f>
        <v>1794480</v>
      </c>
      <c r="K208" s="26">
        <f t="shared" si="33"/>
        <v>4695162.8799999999</v>
      </c>
      <c r="L208" s="26">
        <f t="shared" si="34"/>
        <v>20657568.32</v>
      </c>
      <c r="M208" s="26">
        <f t="shared" si="35"/>
        <v>1838635.2480000001</v>
      </c>
      <c r="N208" s="26">
        <f t="shared" si="36"/>
        <v>684967.424</v>
      </c>
      <c r="O208" s="26">
        <f t="shared" si="37"/>
        <v>1153667.824</v>
      </c>
      <c r="P208" s="28">
        <f t="shared" si="38"/>
        <v>96130</v>
      </c>
      <c r="Q208" s="28">
        <f>TRUNC(P208*요율기준!$B$12,-1)</f>
        <v>9610</v>
      </c>
      <c r="R208" s="28">
        <f t="shared" si="39"/>
        <v>105740</v>
      </c>
    </row>
    <row r="209" spans="1:18" x14ac:dyDescent="0.4">
      <c r="A209" s="30">
        <f>급여대장!A209</f>
        <v>46023</v>
      </c>
      <c r="B209" s="17">
        <v>18</v>
      </c>
      <c r="C209" s="25" t="str">
        <f>급여대장!D209</f>
        <v>온새미</v>
      </c>
      <c r="D209" s="31">
        <f>직원정보!I22</f>
        <v>1</v>
      </c>
      <c r="E209" s="29">
        <f>급여대장!V209</f>
        <v>3297759</v>
      </c>
      <c r="F209" s="26">
        <f t="shared" si="30"/>
        <v>39573108</v>
      </c>
      <c r="G209" s="26">
        <f t="shared" si="31"/>
        <v>11185966.199999999</v>
      </c>
      <c r="H209" s="26">
        <f t="shared" si="32"/>
        <v>28387141.800000001</v>
      </c>
      <c r="I209" s="26">
        <f>D209*요율기준!$B$13</f>
        <v>1500000</v>
      </c>
      <c r="J209" s="29">
        <f>'4대보험'!F209*12</f>
        <v>1780680</v>
      </c>
      <c r="K209" s="26">
        <f t="shared" si="33"/>
        <v>4682924.32</v>
      </c>
      <c r="L209" s="26">
        <f t="shared" si="34"/>
        <v>20423537.48</v>
      </c>
      <c r="M209" s="26">
        <f t="shared" si="35"/>
        <v>1803530.622</v>
      </c>
      <c r="N209" s="26">
        <f t="shared" si="36"/>
        <v>687415.13599999994</v>
      </c>
      <c r="O209" s="26">
        <f t="shared" si="37"/>
        <v>1116115.486</v>
      </c>
      <c r="P209" s="28">
        <f t="shared" si="38"/>
        <v>93000</v>
      </c>
      <c r="Q209" s="28">
        <f>TRUNC(P209*요율기준!$B$12,-1)</f>
        <v>9300</v>
      </c>
      <c r="R209" s="28">
        <f t="shared" si="39"/>
        <v>102300</v>
      </c>
    </row>
    <row r="210" spans="1:18" x14ac:dyDescent="0.4">
      <c r="A210" s="30">
        <f>급여대장!A210</f>
        <v>46054</v>
      </c>
      <c r="B210" s="17">
        <v>18</v>
      </c>
      <c r="C210" s="25" t="str">
        <f>급여대장!D210</f>
        <v>온새미</v>
      </c>
      <c r="D210" s="31">
        <f>직원정보!I22</f>
        <v>1</v>
      </c>
      <c r="E210" s="29">
        <f>급여대장!V210</f>
        <v>3414030</v>
      </c>
      <c r="F210" s="26">
        <f t="shared" si="30"/>
        <v>40968360</v>
      </c>
      <c r="G210" s="26">
        <f t="shared" si="31"/>
        <v>11395254</v>
      </c>
      <c r="H210" s="26">
        <f t="shared" si="32"/>
        <v>29573106</v>
      </c>
      <c r="I210" s="26">
        <f>D210*요율기준!$B$13</f>
        <v>1500000</v>
      </c>
      <c r="J210" s="29">
        <f>'4대보험'!F210*12</f>
        <v>1843560</v>
      </c>
      <c r="K210" s="26">
        <f t="shared" si="33"/>
        <v>4738734.4000000004</v>
      </c>
      <c r="L210" s="26">
        <f t="shared" si="34"/>
        <v>21490811.600000001</v>
      </c>
      <c r="M210" s="26">
        <f t="shared" si="35"/>
        <v>1963621.7400000002</v>
      </c>
      <c r="N210" s="26">
        <f t="shared" si="36"/>
        <v>676253.12</v>
      </c>
      <c r="O210" s="26">
        <f t="shared" si="37"/>
        <v>1287368.6200000001</v>
      </c>
      <c r="P210" s="28">
        <f t="shared" si="38"/>
        <v>107280</v>
      </c>
      <c r="Q210" s="28">
        <f>TRUNC(P210*요율기준!$B$12,-1)</f>
        <v>10720</v>
      </c>
      <c r="R210" s="28">
        <f t="shared" si="39"/>
        <v>118000</v>
      </c>
    </row>
    <row r="211" spans="1:18" x14ac:dyDescent="0.4">
      <c r="A211" s="30">
        <f>급여대장!A211</f>
        <v>46082</v>
      </c>
      <c r="B211" s="17">
        <v>18</v>
      </c>
      <c r="C211" s="25" t="str">
        <f>급여대장!D211</f>
        <v>온새미</v>
      </c>
      <c r="D211" s="31">
        <f>직원정보!I22</f>
        <v>1</v>
      </c>
      <c r="E211" s="29">
        <f>급여대장!V211</f>
        <v>3530301</v>
      </c>
      <c r="F211" s="26">
        <f t="shared" si="30"/>
        <v>42363612</v>
      </c>
      <c r="G211" s="26">
        <f t="shared" si="31"/>
        <v>11604541.800000001</v>
      </c>
      <c r="H211" s="26">
        <f t="shared" si="32"/>
        <v>30759070.199999999</v>
      </c>
      <c r="I211" s="26">
        <f>D211*요율기준!$B$13</f>
        <v>1500000</v>
      </c>
      <c r="J211" s="29">
        <f>'4대보험'!F211*12</f>
        <v>1906320</v>
      </c>
      <c r="K211" s="26">
        <f t="shared" si="33"/>
        <v>4794544.4800000004</v>
      </c>
      <c r="L211" s="26">
        <f t="shared" si="34"/>
        <v>22558205.719999999</v>
      </c>
      <c r="M211" s="26">
        <f t="shared" si="35"/>
        <v>2123730.858</v>
      </c>
      <c r="N211" s="26">
        <f t="shared" si="36"/>
        <v>665091.10400000005</v>
      </c>
      <c r="O211" s="26">
        <f t="shared" si="37"/>
        <v>1458639.754</v>
      </c>
      <c r="P211" s="28">
        <f t="shared" si="38"/>
        <v>121550</v>
      </c>
      <c r="Q211" s="28">
        <f>TRUNC(P211*요율기준!$B$12,-1)</f>
        <v>12150</v>
      </c>
      <c r="R211" s="28">
        <f t="shared" si="39"/>
        <v>133700</v>
      </c>
    </row>
    <row r="212" spans="1:18" x14ac:dyDescent="0.4">
      <c r="A212" s="30">
        <f>급여대장!A212</f>
        <v>46113</v>
      </c>
      <c r="B212" s="17">
        <v>18</v>
      </c>
      <c r="C212" s="25" t="str">
        <f>급여대장!D212</f>
        <v>온새미</v>
      </c>
      <c r="D212" s="31">
        <f>직원정보!I22</f>
        <v>1</v>
      </c>
      <c r="E212" s="29">
        <f>급여대장!V212</f>
        <v>3646572</v>
      </c>
      <c r="F212" s="26">
        <f t="shared" si="30"/>
        <v>43758864</v>
      </c>
      <c r="G212" s="26">
        <f t="shared" si="31"/>
        <v>11813829.6</v>
      </c>
      <c r="H212" s="26">
        <f t="shared" si="32"/>
        <v>31945034.399999999</v>
      </c>
      <c r="I212" s="26">
        <f>D212*요율기준!$B$13</f>
        <v>1500000</v>
      </c>
      <c r="J212" s="29">
        <f>'4대보험'!F212*12</f>
        <v>1969080</v>
      </c>
      <c r="K212" s="26">
        <f t="shared" si="33"/>
        <v>4850354.5600000005</v>
      </c>
      <c r="L212" s="26">
        <f t="shared" si="34"/>
        <v>23625599.839999996</v>
      </c>
      <c r="M212" s="26">
        <f t="shared" si="35"/>
        <v>2283839.9759999993</v>
      </c>
      <c r="N212" s="26">
        <f t="shared" si="36"/>
        <v>660000</v>
      </c>
      <c r="O212" s="26">
        <f t="shared" si="37"/>
        <v>1623839.9759999993</v>
      </c>
      <c r="P212" s="28">
        <f t="shared" si="38"/>
        <v>135310</v>
      </c>
      <c r="Q212" s="28">
        <f>TRUNC(P212*요율기준!$B$12,-1)</f>
        <v>13530</v>
      </c>
      <c r="R212" s="28">
        <f t="shared" si="39"/>
        <v>148840</v>
      </c>
    </row>
    <row r="213" spans="1:18" x14ac:dyDescent="0.4">
      <c r="A213" s="30">
        <f>급여대장!A213</f>
        <v>46143</v>
      </c>
      <c r="B213" s="17">
        <v>18</v>
      </c>
      <c r="C213" s="25" t="str">
        <f>급여대장!D213</f>
        <v>온새미</v>
      </c>
      <c r="D213" s="31">
        <f>직원정보!I22</f>
        <v>1</v>
      </c>
      <c r="E213" s="29">
        <f>급여대장!V213</f>
        <v>3200867</v>
      </c>
      <c r="F213" s="26">
        <f t="shared" si="30"/>
        <v>38410404</v>
      </c>
      <c r="G213" s="26">
        <f t="shared" si="31"/>
        <v>11011560.6</v>
      </c>
      <c r="H213" s="26">
        <f t="shared" si="32"/>
        <v>27398843.399999999</v>
      </c>
      <c r="I213" s="26">
        <f>D213*요율기준!$B$13</f>
        <v>1500000</v>
      </c>
      <c r="J213" s="29">
        <f>'4대보험'!F213*12</f>
        <v>1728360</v>
      </c>
      <c r="K213" s="26">
        <f t="shared" si="33"/>
        <v>4636416.16</v>
      </c>
      <c r="L213" s="26">
        <f t="shared" si="34"/>
        <v>19534067.239999998</v>
      </c>
      <c r="M213" s="26">
        <f t="shared" si="35"/>
        <v>1670110.0859999997</v>
      </c>
      <c r="N213" s="26">
        <f t="shared" si="36"/>
        <v>696716.76800000004</v>
      </c>
      <c r="O213" s="26">
        <f t="shared" si="37"/>
        <v>973393.31799999962</v>
      </c>
      <c r="P213" s="28">
        <f t="shared" si="38"/>
        <v>81110</v>
      </c>
      <c r="Q213" s="28">
        <f>TRUNC(P213*요율기준!$B$12,-1)</f>
        <v>8110</v>
      </c>
      <c r="R213" s="28">
        <f t="shared" si="39"/>
        <v>89220</v>
      </c>
    </row>
    <row r="214" spans="1:18" x14ac:dyDescent="0.4">
      <c r="A214" s="30">
        <f>급여대장!A214</f>
        <v>46174</v>
      </c>
      <c r="B214" s="17">
        <v>18</v>
      </c>
      <c r="C214" s="25" t="str">
        <f>급여대장!D214</f>
        <v>온새미</v>
      </c>
      <c r="D214" s="31">
        <f>직원정보!I22</f>
        <v>1</v>
      </c>
      <c r="E214" s="29">
        <f>급여대장!V214</f>
        <v>3317137</v>
      </c>
      <c r="F214" s="26">
        <f t="shared" si="30"/>
        <v>39805644</v>
      </c>
      <c r="G214" s="26">
        <f t="shared" si="31"/>
        <v>11220846.6</v>
      </c>
      <c r="H214" s="26">
        <f t="shared" si="32"/>
        <v>28584797.399999999</v>
      </c>
      <c r="I214" s="26">
        <f>D214*요율기준!$B$13</f>
        <v>1500000</v>
      </c>
      <c r="J214" s="29">
        <f>'4대보험'!F214*12</f>
        <v>1791240</v>
      </c>
      <c r="K214" s="26">
        <f t="shared" si="33"/>
        <v>4692225.76</v>
      </c>
      <c r="L214" s="26">
        <f t="shared" si="34"/>
        <v>20601331.640000001</v>
      </c>
      <c r="M214" s="26">
        <f t="shared" si="35"/>
        <v>1830199.746</v>
      </c>
      <c r="N214" s="26">
        <f t="shared" si="36"/>
        <v>685554.848</v>
      </c>
      <c r="O214" s="26">
        <f t="shared" si="37"/>
        <v>1144644.898</v>
      </c>
      <c r="P214" s="28">
        <f t="shared" si="38"/>
        <v>95380</v>
      </c>
      <c r="Q214" s="28">
        <f>TRUNC(P214*요율기준!$B$12,-1)</f>
        <v>9530</v>
      </c>
      <c r="R214" s="28">
        <f t="shared" si="39"/>
        <v>104910</v>
      </c>
    </row>
    <row r="215" spans="1:18" x14ac:dyDescent="0.4">
      <c r="A215" s="30">
        <f>급여대장!A215</f>
        <v>46204</v>
      </c>
      <c r="B215" s="17">
        <v>18</v>
      </c>
      <c r="C215" s="25" t="str">
        <f>급여대장!D215</f>
        <v>온새미</v>
      </c>
      <c r="D215" s="31">
        <f>직원정보!I22</f>
        <v>1</v>
      </c>
      <c r="E215" s="29">
        <f>급여대장!V215</f>
        <v>3433409</v>
      </c>
      <c r="F215" s="26">
        <f t="shared" si="30"/>
        <v>41200908</v>
      </c>
      <c r="G215" s="26">
        <f t="shared" si="31"/>
        <v>11430136.199999999</v>
      </c>
      <c r="H215" s="26">
        <f t="shared" si="32"/>
        <v>29770771.800000001</v>
      </c>
      <c r="I215" s="26">
        <f>D215*요율기준!$B$13</f>
        <v>1500000</v>
      </c>
      <c r="J215" s="29">
        <f>'4대보험'!F215*12</f>
        <v>1854000</v>
      </c>
      <c r="K215" s="26">
        <f t="shared" si="33"/>
        <v>4748036.32</v>
      </c>
      <c r="L215" s="26">
        <f t="shared" si="34"/>
        <v>21668735.48</v>
      </c>
      <c r="M215" s="26">
        <f t="shared" si="35"/>
        <v>1990310.3219999999</v>
      </c>
      <c r="N215" s="26">
        <f t="shared" si="36"/>
        <v>674392.73600000003</v>
      </c>
      <c r="O215" s="26">
        <f t="shared" si="37"/>
        <v>1315917.5859999999</v>
      </c>
      <c r="P215" s="28">
        <f t="shared" si="38"/>
        <v>109650</v>
      </c>
      <c r="Q215" s="28">
        <f>TRUNC(P215*요율기준!$B$12,-1)</f>
        <v>10960</v>
      </c>
      <c r="R215" s="28">
        <f t="shared" si="39"/>
        <v>120610</v>
      </c>
    </row>
    <row r="216" spans="1:18" x14ac:dyDescent="0.4">
      <c r="A216" s="30">
        <f>급여대장!A216</f>
        <v>46235</v>
      </c>
      <c r="B216" s="17">
        <v>18</v>
      </c>
      <c r="C216" s="25" t="str">
        <f>급여대장!D216</f>
        <v>온새미</v>
      </c>
      <c r="D216" s="31">
        <f>직원정보!I22</f>
        <v>1</v>
      </c>
      <c r="E216" s="29">
        <f>급여대장!V216</f>
        <v>3549679</v>
      </c>
      <c r="F216" s="26">
        <f t="shared" si="30"/>
        <v>42596148</v>
      </c>
      <c r="G216" s="26">
        <f t="shared" si="31"/>
        <v>11639422.199999999</v>
      </c>
      <c r="H216" s="26">
        <f t="shared" si="32"/>
        <v>30956725.800000001</v>
      </c>
      <c r="I216" s="26">
        <f>D216*요율기준!$B$13</f>
        <v>1500000</v>
      </c>
      <c r="J216" s="29">
        <f>'4대보험'!F216*12</f>
        <v>1916760</v>
      </c>
      <c r="K216" s="26">
        <f t="shared" si="33"/>
        <v>4803845.92</v>
      </c>
      <c r="L216" s="26">
        <f t="shared" si="34"/>
        <v>22736119.880000003</v>
      </c>
      <c r="M216" s="26">
        <f t="shared" si="35"/>
        <v>2150417.9820000003</v>
      </c>
      <c r="N216" s="26">
        <f t="shared" si="36"/>
        <v>663230.81599999999</v>
      </c>
      <c r="O216" s="26">
        <f t="shared" si="37"/>
        <v>1487187.1660000002</v>
      </c>
      <c r="P216" s="28">
        <f t="shared" si="38"/>
        <v>123930</v>
      </c>
      <c r="Q216" s="28">
        <f>TRUNC(P216*요율기준!$B$12,-1)</f>
        <v>12390</v>
      </c>
      <c r="R216" s="28">
        <f t="shared" si="39"/>
        <v>136320</v>
      </c>
    </row>
    <row r="217" spans="1:18" x14ac:dyDescent="0.4">
      <c r="A217" s="30">
        <f>급여대장!A217</f>
        <v>46266</v>
      </c>
      <c r="B217" s="17">
        <v>18</v>
      </c>
      <c r="C217" s="25" t="str">
        <f>급여대장!D217</f>
        <v>온새미</v>
      </c>
      <c r="D217" s="31">
        <f>직원정보!I22</f>
        <v>1</v>
      </c>
      <c r="E217" s="29">
        <f>급여대장!V217</f>
        <v>3588437</v>
      </c>
      <c r="F217" s="26">
        <f t="shared" si="30"/>
        <v>43061244</v>
      </c>
      <c r="G217" s="26">
        <f t="shared" si="31"/>
        <v>11709186.6</v>
      </c>
      <c r="H217" s="26">
        <f t="shared" si="32"/>
        <v>31352057.399999999</v>
      </c>
      <c r="I217" s="26">
        <f>D217*요율기준!$B$13</f>
        <v>1500000</v>
      </c>
      <c r="J217" s="29">
        <f>'4대보험'!F217*12</f>
        <v>1937640</v>
      </c>
      <c r="K217" s="26">
        <f t="shared" si="33"/>
        <v>4822449.76</v>
      </c>
      <c r="L217" s="26">
        <f t="shared" si="34"/>
        <v>23091967.640000001</v>
      </c>
      <c r="M217" s="26">
        <f t="shared" si="35"/>
        <v>2203795.1459999997</v>
      </c>
      <c r="N217" s="26">
        <f t="shared" si="36"/>
        <v>660000</v>
      </c>
      <c r="O217" s="26">
        <f t="shared" si="37"/>
        <v>1543795.1459999997</v>
      </c>
      <c r="P217" s="28">
        <f t="shared" si="38"/>
        <v>128640</v>
      </c>
      <c r="Q217" s="28">
        <f>TRUNC(P217*요율기준!$B$12,-1)</f>
        <v>12860</v>
      </c>
      <c r="R217" s="28">
        <f t="shared" si="39"/>
        <v>141500</v>
      </c>
    </row>
    <row r="218" spans="1:18" x14ac:dyDescent="0.4">
      <c r="A218" s="30">
        <f>급여대장!A218</f>
        <v>46296</v>
      </c>
      <c r="B218" s="17">
        <v>18</v>
      </c>
      <c r="C218" s="25" t="str">
        <f>급여대장!D218</f>
        <v>온새미</v>
      </c>
      <c r="D218" s="31">
        <f>직원정보!I22</f>
        <v>1</v>
      </c>
      <c r="E218" s="29">
        <f>급여대장!V218</f>
        <v>3220245</v>
      </c>
      <c r="F218" s="26">
        <f t="shared" si="30"/>
        <v>38642940</v>
      </c>
      <c r="G218" s="26">
        <f t="shared" si="31"/>
        <v>11046441</v>
      </c>
      <c r="H218" s="26">
        <f t="shared" si="32"/>
        <v>27596499</v>
      </c>
      <c r="I218" s="26">
        <f>D218*요율기준!$B$13</f>
        <v>1500000</v>
      </c>
      <c r="J218" s="29">
        <f>'4대보험'!F218*12</f>
        <v>1738920</v>
      </c>
      <c r="K218" s="26">
        <f t="shared" si="33"/>
        <v>4645717.5999999996</v>
      </c>
      <c r="L218" s="26">
        <f t="shared" si="34"/>
        <v>19711861.399999999</v>
      </c>
      <c r="M218" s="26">
        <f t="shared" si="35"/>
        <v>1696779.2099999997</v>
      </c>
      <c r="N218" s="26">
        <f t="shared" si="36"/>
        <v>694856.48</v>
      </c>
      <c r="O218" s="26">
        <f t="shared" si="37"/>
        <v>1001922.7299999997</v>
      </c>
      <c r="P218" s="28">
        <f t="shared" si="38"/>
        <v>83490</v>
      </c>
      <c r="Q218" s="28">
        <f>TRUNC(P218*요율기준!$B$12,-1)</f>
        <v>8340</v>
      </c>
      <c r="R218" s="28">
        <f t="shared" si="39"/>
        <v>91830</v>
      </c>
    </row>
    <row r="219" spans="1:18" x14ac:dyDescent="0.4">
      <c r="A219" s="30">
        <f>급여대장!A219</f>
        <v>46327</v>
      </c>
      <c r="B219" s="17">
        <v>18</v>
      </c>
      <c r="C219" s="25" t="str">
        <f>급여대장!D219</f>
        <v>온새미</v>
      </c>
      <c r="D219" s="31">
        <f>직원정보!I22</f>
        <v>1</v>
      </c>
      <c r="E219" s="29">
        <f>급여대장!V219</f>
        <v>3336516</v>
      </c>
      <c r="F219" s="26">
        <f t="shared" si="30"/>
        <v>40038192</v>
      </c>
      <c r="G219" s="26">
        <f t="shared" si="31"/>
        <v>11255728.800000001</v>
      </c>
      <c r="H219" s="26">
        <f t="shared" si="32"/>
        <v>28782463.199999999</v>
      </c>
      <c r="I219" s="26">
        <f>D219*요율기준!$B$13</f>
        <v>1500000</v>
      </c>
      <c r="J219" s="29">
        <f>'4대보험'!F219*12</f>
        <v>1801680</v>
      </c>
      <c r="K219" s="26">
        <f t="shared" si="33"/>
        <v>4701527.68</v>
      </c>
      <c r="L219" s="26">
        <f t="shared" si="34"/>
        <v>20779255.52</v>
      </c>
      <c r="M219" s="26">
        <f t="shared" si="35"/>
        <v>1856888.3279999997</v>
      </c>
      <c r="N219" s="26">
        <f t="shared" si="36"/>
        <v>683694.46400000004</v>
      </c>
      <c r="O219" s="26">
        <f t="shared" si="37"/>
        <v>1173193.8639999996</v>
      </c>
      <c r="P219" s="28">
        <f t="shared" si="38"/>
        <v>97760</v>
      </c>
      <c r="Q219" s="28">
        <f>TRUNC(P219*요율기준!$B$12,-1)</f>
        <v>9770</v>
      </c>
      <c r="R219" s="28">
        <f t="shared" si="39"/>
        <v>107530</v>
      </c>
    </row>
    <row r="220" spans="1:18" x14ac:dyDescent="0.4">
      <c r="A220" s="30">
        <f>급여대장!A220</f>
        <v>46357</v>
      </c>
      <c r="B220" s="17">
        <v>18</v>
      </c>
      <c r="C220" s="25" t="str">
        <f>급여대장!D220</f>
        <v>온새미</v>
      </c>
      <c r="D220" s="31">
        <f>직원정보!I22</f>
        <v>1</v>
      </c>
      <c r="E220" s="29">
        <f>급여대장!V220</f>
        <v>3452787</v>
      </c>
      <c r="F220" s="26">
        <f t="shared" si="30"/>
        <v>41433444</v>
      </c>
      <c r="G220" s="26">
        <f t="shared" si="31"/>
        <v>11465016.6</v>
      </c>
      <c r="H220" s="26">
        <f t="shared" si="32"/>
        <v>29968427.399999999</v>
      </c>
      <c r="I220" s="26">
        <f>D220*요율기준!$B$13</f>
        <v>1500000</v>
      </c>
      <c r="J220" s="29">
        <f>'4대보험'!F220*12</f>
        <v>1864440</v>
      </c>
      <c r="K220" s="26">
        <f t="shared" si="33"/>
        <v>4757337.76</v>
      </c>
      <c r="L220" s="26">
        <f t="shared" si="34"/>
        <v>21846649.640000001</v>
      </c>
      <c r="M220" s="26">
        <f t="shared" si="35"/>
        <v>2016997.446</v>
      </c>
      <c r="N220" s="26">
        <f t="shared" si="36"/>
        <v>672532.44799999997</v>
      </c>
      <c r="O220" s="26">
        <f t="shared" si="37"/>
        <v>1344464.9980000001</v>
      </c>
      <c r="P220" s="28">
        <f t="shared" si="38"/>
        <v>112030</v>
      </c>
      <c r="Q220" s="28">
        <f>TRUNC(P220*요율기준!$B$12,-1)</f>
        <v>11200</v>
      </c>
      <c r="R220" s="28">
        <f t="shared" si="39"/>
        <v>123230</v>
      </c>
    </row>
  </sheetData>
  <autoFilter ref="A4:R220" xr:uid="{00000000-0009-0000-0000-000005000000}"/>
  <phoneticPr fontId="1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8"/>
  <sheetViews>
    <sheetView showGridLines="0" workbookViewId="0"/>
  </sheetViews>
  <sheetFormatPr defaultRowHeight="17.399999999999999" x14ac:dyDescent="0.4"/>
  <cols>
    <col min="1" max="2" width="13" customWidth="1"/>
    <col min="3" max="3" width="15" customWidth="1"/>
    <col min="4" max="5" width="13" customWidth="1"/>
    <col min="6" max="6" width="15" customWidth="1"/>
  </cols>
  <sheetData>
    <row r="2" spans="1:6" ht="27.6" x14ac:dyDescent="0.4">
      <c r="A2" s="49" t="s">
        <v>223</v>
      </c>
      <c r="B2" s="40"/>
      <c r="C2" s="40"/>
      <c r="D2" s="40"/>
      <c r="E2" s="40"/>
      <c r="F2" s="40"/>
    </row>
    <row r="3" spans="1:6" ht="19.2" x14ac:dyDescent="0.4">
      <c r="A3" s="52" t="str">
        <f>TEXT(INDEX(급여대장!$A$5:$A$460,($F$4-1)*12+$F$5),"yyyy년 m월")&amp;" 귀속분"</f>
        <v>2026년 12월 귀속분</v>
      </c>
      <c r="B3" s="40"/>
      <c r="C3" s="40"/>
      <c r="D3" s="40"/>
      <c r="E3" s="32" t="s">
        <v>224</v>
      </c>
      <c r="F3" s="33">
        <v>1</v>
      </c>
    </row>
    <row r="4" spans="1:6" x14ac:dyDescent="0.4">
      <c r="E4" s="32" t="s">
        <v>225</v>
      </c>
      <c r="F4" s="33">
        <v>7</v>
      </c>
    </row>
    <row r="6" spans="1:6" x14ac:dyDescent="0.4">
      <c r="A6" s="34" t="s">
        <v>59</v>
      </c>
      <c r="B6" s="24" t="str">
        <f>INDEX(급여대장!$D$5:$D$220,($F$3-1)*12+$F$4)</f>
        <v>가온누리</v>
      </c>
      <c r="C6" s="34" t="s">
        <v>60</v>
      </c>
      <c r="D6" s="24" t="str">
        <f>INDEX(급여대장!$E$5:$E$220,($F$3-1)*12+$F$4)</f>
        <v>대표이사실</v>
      </c>
      <c r="E6" s="34" t="s">
        <v>61</v>
      </c>
      <c r="F6" s="24" t="str">
        <f>INDEX(급여대장!$F$5:$F$220,($F$3-1)*12+$F$4)</f>
        <v>대표이사</v>
      </c>
    </row>
    <row r="7" spans="1:6" x14ac:dyDescent="0.4">
      <c r="A7" s="34" t="s">
        <v>58</v>
      </c>
      <c r="B7" s="24" t="str">
        <f>INDEX(급여대장!$C$5:$C$220,($F$3-1)*12+$F$4)</f>
        <v>S0001</v>
      </c>
      <c r="C7" s="34" t="s">
        <v>172</v>
      </c>
      <c r="D7" s="29">
        <f>INDEX(급여대장!$H$5:$H$220,($F$3-1)*12+$F$4)</f>
        <v>31100</v>
      </c>
      <c r="E7" s="34" t="s">
        <v>226</v>
      </c>
      <c r="F7" s="35">
        <f>INDEX(급여대장!$A$5:$A$220,($F$3-1)*12+$F$4)+24</f>
        <v>46228</v>
      </c>
    </row>
    <row r="8" spans="1:6" x14ac:dyDescent="0.4">
      <c r="A8" s="50" t="str">
        <f>" ▷ 연장근로 "&amp;INDEX(급여대장!$I$5:$I$220,($F$3-1)*12+$F$4)&amp;"시간, 야간근로 "&amp;INDEX(급여대장!$J$5:$J$220,($F$3-1)*12+$F$4)&amp;"시간 (통상시급 기준 자동 산정)"</f>
        <v xml:space="preserve"> ▷ 연장근로 0시간, 야간근로 0시간 (통상시급 기준 자동 산정)</v>
      </c>
      <c r="B8" s="40"/>
      <c r="C8" s="40"/>
      <c r="D8" s="40"/>
      <c r="E8" s="40"/>
      <c r="F8" s="40"/>
    </row>
    <row r="9" spans="1:6" x14ac:dyDescent="0.4">
      <c r="A9" s="41" t="s">
        <v>166</v>
      </c>
      <c r="B9" s="42"/>
      <c r="C9" s="42"/>
      <c r="D9" s="41" t="s">
        <v>168</v>
      </c>
      <c r="E9" s="42"/>
      <c r="F9" s="42"/>
    </row>
    <row r="10" spans="1:6" x14ac:dyDescent="0.4">
      <c r="A10" s="45" t="s">
        <v>22</v>
      </c>
      <c r="B10" s="42"/>
      <c r="C10" s="6" t="s">
        <v>227</v>
      </c>
      <c r="D10" s="45" t="s">
        <v>22</v>
      </c>
      <c r="E10" s="42"/>
      <c r="F10" s="6" t="s">
        <v>227</v>
      </c>
    </row>
    <row r="11" spans="1:6" x14ac:dyDescent="0.4">
      <c r="A11" s="43" t="s">
        <v>171</v>
      </c>
      <c r="B11" s="42"/>
      <c r="C11" s="36">
        <f>INDEX(급여대장!$G$5:$G$220,($F$3-1)*12+$F$4)</f>
        <v>6500000</v>
      </c>
      <c r="D11" s="43" t="s">
        <v>187</v>
      </c>
      <c r="E11" s="42"/>
      <c r="F11" s="36">
        <f>INDEX(급여대장!$W$5:$W$220,($F$3-1)*12+$F$4)</f>
        <v>286650</v>
      </c>
    </row>
    <row r="12" spans="1:6" x14ac:dyDescent="0.4">
      <c r="A12" s="43" t="s">
        <v>228</v>
      </c>
      <c r="B12" s="42"/>
      <c r="C12" s="36">
        <f>INDEX(급여대장!$K$5:$K$220,($F$3-1)*12+$F$4)</f>
        <v>0</v>
      </c>
      <c r="D12" s="43" t="s">
        <v>188</v>
      </c>
      <c r="E12" s="42"/>
      <c r="F12" s="36">
        <f>INDEX(급여대장!$X$5:$X$220,($F$3-1)*12+$F$4)</f>
        <v>251690</v>
      </c>
    </row>
    <row r="13" spans="1:6" x14ac:dyDescent="0.4">
      <c r="A13" s="43" t="s">
        <v>229</v>
      </c>
      <c r="B13" s="42"/>
      <c r="C13" s="36">
        <f>INDEX(급여대장!$L$5:$L$220,($F$3-1)*12+$F$4)</f>
        <v>0</v>
      </c>
      <c r="D13" s="43" t="s">
        <v>230</v>
      </c>
      <c r="E13" s="42"/>
      <c r="F13" s="36">
        <f>INDEX(급여대장!$Y$5:$Y$220,($F$3-1)*12+$F$4)</f>
        <v>32590</v>
      </c>
    </row>
    <row r="14" spans="1:6" x14ac:dyDescent="0.4">
      <c r="A14" s="43" t="s">
        <v>231</v>
      </c>
      <c r="B14" s="42"/>
      <c r="C14" s="36">
        <f>INDEX(급여대장!$M$5:$M$220,($F$3-1)*12+$F$4)</f>
        <v>0</v>
      </c>
      <c r="D14" s="43" t="s">
        <v>190</v>
      </c>
      <c r="E14" s="42"/>
      <c r="F14" s="36">
        <f>INDEX(급여대장!$Z$5:$Z$220,($F$3-1)*12+$F$4)</f>
        <v>63900</v>
      </c>
    </row>
    <row r="15" spans="1:6" x14ac:dyDescent="0.4">
      <c r="A15" s="43" t="s">
        <v>178</v>
      </c>
      <c r="B15" s="42"/>
      <c r="C15" s="36">
        <f>INDEX(급여대장!$N$5:$N$220,($F$3-1)*12+$F$4)</f>
        <v>500000</v>
      </c>
      <c r="D15" s="43" t="s">
        <v>232</v>
      </c>
      <c r="E15" s="42"/>
      <c r="F15" s="36">
        <f>INDEX(급여대장!$AA$5:$AA$220,($F$3-1)*12+$F$4)</f>
        <v>673170</v>
      </c>
    </row>
    <row r="16" spans="1:6" x14ac:dyDescent="0.4">
      <c r="A16" s="43" t="s">
        <v>179</v>
      </c>
      <c r="B16" s="42"/>
      <c r="C16" s="36">
        <f>INDEX(급여대장!$O$5:$O$220,($F$3-1)*12+$F$4)</f>
        <v>100000</v>
      </c>
      <c r="D16" s="43" t="s">
        <v>233</v>
      </c>
      <c r="E16" s="42"/>
      <c r="F16" s="36">
        <f>INDEX(급여대장!$AB$5:$AB$220,($F$3-1)*12+$F$4)</f>
        <v>67310</v>
      </c>
    </row>
    <row r="17" spans="1:6" x14ac:dyDescent="0.4">
      <c r="A17" s="43" t="s">
        <v>180</v>
      </c>
      <c r="B17" s="42"/>
      <c r="C17" s="36">
        <f>INDEX(급여대장!$P$5:$P$220,($F$3-1)*12+$F$4)</f>
        <v>0</v>
      </c>
      <c r="D17" s="43" t="s">
        <v>193</v>
      </c>
      <c r="E17" s="42"/>
      <c r="F17" s="36">
        <f>INDEX(급여대장!$AC$5:$AC$220,($F$3-1)*12+$F$4)</f>
        <v>0</v>
      </c>
    </row>
    <row r="18" spans="1:6" x14ac:dyDescent="0.4">
      <c r="A18" s="43" t="s">
        <v>234</v>
      </c>
      <c r="B18" s="42"/>
      <c r="C18" s="36">
        <f>INDEX(급여대장!$Q$5:$Q$220,($F$3-1)*12+$F$4)</f>
        <v>100000</v>
      </c>
      <c r="D18" s="43"/>
      <c r="E18" s="42"/>
      <c r="F18" s="37"/>
    </row>
    <row r="19" spans="1:6" x14ac:dyDescent="0.4">
      <c r="A19" s="43" t="s">
        <v>235</v>
      </c>
      <c r="B19" s="42"/>
      <c r="C19" s="36">
        <f>INDEX(급여대장!$R$5:$R$220,($F$3-1)*12+$F$4)</f>
        <v>200000</v>
      </c>
      <c r="D19" s="43"/>
      <c r="E19" s="42"/>
      <c r="F19" s="37"/>
    </row>
    <row r="20" spans="1:6" x14ac:dyDescent="0.4">
      <c r="A20" s="43" t="s">
        <v>236</v>
      </c>
      <c r="B20" s="42"/>
      <c r="C20" s="36">
        <f>INDEX(급여대장!$S$5:$S$220,($F$3-1)*12+$F$4)</f>
        <v>200000</v>
      </c>
      <c r="D20" s="43"/>
      <c r="E20" s="42"/>
      <c r="F20" s="37"/>
    </row>
    <row r="21" spans="1:6" x14ac:dyDescent="0.4">
      <c r="A21" s="48" t="s">
        <v>237</v>
      </c>
      <c r="B21" s="42"/>
      <c r="C21" s="38">
        <f>INDEX(급여대장!$T$5:$T$220,($F$3-1)*12+$F$4)</f>
        <v>7600000</v>
      </c>
      <c r="D21" s="48" t="s">
        <v>238</v>
      </c>
      <c r="E21" s="42"/>
      <c r="F21" s="38">
        <f>INDEX(급여대장!$AD$5:$AD$220,($F$3-1)*12+$F$4)</f>
        <v>1375310</v>
      </c>
    </row>
    <row r="23" spans="1:6" ht="20.399999999999999" x14ac:dyDescent="0.4">
      <c r="A23" s="44" t="s">
        <v>239</v>
      </c>
      <c r="B23" s="42"/>
      <c r="C23" s="42"/>
      <c r="D23" s="42"/>
      <c r="E23" s="47">
        <f>INDEX(급여대장!$AE$5:$AE$220,($F$3-1)*12+$F$4)</f>
        <v>6224690</v>
      </c>
      <c r="F23" s="42"/>
    </row>
    <row r="25" spans="1:6" x14ac:dyDescent="0.4">
      <c r="A25" s="53" t="s">
        <v>240</v>
      </c>
      <c r="B25" s="40"/>
      <c r="C25" s="40"/>
      <c r="D25" s="40"/>
      <c r="E25" s="40"/>
      <c r="F25" s="40"/>
    </row>
    <row r="27" spans="1:6" x14ac:dyDescent="0.4">
      <c r="A27" s="46" t="s">
        <v>241</v>
      </c>
      <c r="B27" s="40"/>
      <c r="C27" s="40"/>
      <c r="D27" s="40"/>
      <c r="E27" s="40"/>
      <c r="F27" s="40"/>
    </row>
    <row r="28" spans="1:6" ht="19.2" x14ac:dyDescent="0.4">
      <c r="A28" s="51" t="s">
        <v>242</v>
      </c>
      <c r="B28" s="40"/>
      <c r="C28" s="40"/>
      <c r="D28" s="40"/>
      <c r="E28" s="40"/>
      <c r="F28" s="40"/>
    </row>
  </sheetData>
  <mergeCells count="34">
    <mergeCell ref="A28:F28"/>
    <mergeCell ref="A9:C9"/>
    <mergeCell ref="A14:B14"/>
    <mergeCell ref="A17:B17"/>
    <mergeCell ref="D18:E18"/>
    <mergeCell ref="D12:E12"/>
    <mergeCell ref="A20:B20"/>
    <mergeCell ref="D15:E15"/>
    <mergeCell ref="A19:B19"/>
    <mergeCell ref="A10:B10"/>
    <mergeCell ref="A13:B13"/>
    <mergeCell ref="D14:E14"/>
    <mergeCell ref="A25:F25"/>
    <mergeCell ref="A27:F27"/>
    <mergeCell ref="E23:F23"/>
    <mergeCell ref="D21:E21"/>
    <mergeCell ref="A2:F2"/>
    <mergeCell ref="A16:B16"/>
    <mergeCell ref="D11:E11"/>
    <mergeCell ref="D13:E13"/>
    <mergeCell ref="A8:F8"/>
    <mergeCell ref="D9:F9"/>
    <mergeCell ref="A18:B18"/>
    <mergeCell ref="D17:E17"/>
    <mergeCell ref="A12:B12"/>
    <mergeCell ref="D16:E16"/>
    <mergeCell ref="A21:B21"/>
    <mergeCell ref="A3:D3"/>
    <mergeCell ref="D20:E20"/>
    <mergeCell ref="A23:D23"/>
    <mergeCell ref="D10:E10"/>
    <mergeCell ref="A15:B15"/>
    <mergeCell ref="D19:E19"/>
    <mergeCell ref="A11:B11"/>
  </mergeCells>
  <phoneticPr fontId="14" type="noConversion"/>
  <dataValidations count="2">
    <dataValidation type="whole" showErrorMessage="1" errorTitle="입력오류" error="1~18 사이의 직원 NO를 입력하세요." sqref="F3" xr:uid="{00000000-0002-0000-0600-000000000000}">
      <formula1>1</formula1>
      <formula2>18</formula2>
    </dataValidation>
    <dataValidation type="whole" showErrorMessage="1" errorTitle="입력오류" error="1~12 사이의 월을 입력하세요." sqref="F4" xr:uid="{00000000-0002-0000-0600-000001000000}">
      <formula1>1</formula1>
      <formula2>12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사용안내</vt:lpstr>
      <vt:lpstr>요율기준</vt:lpstr>
      <vt:lpstr>직원정보</vt:lpstr>
      <vt:lpstr>급여대장</vt:lpstr>
      <vt:lpstr>4대보험</vt:lpstr>
      <vt:lpstr>세금</vt:lpstr>
      <vt:lpstr>급여명세서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2026-07-07T22:31:37Z</dcterms:created>
  <dcterms:modified xsi:type="dcterms:W3CDTF">2026-07-07T22:32:07Z</dcterms:modified>
</cp:coreProperties>
</file>